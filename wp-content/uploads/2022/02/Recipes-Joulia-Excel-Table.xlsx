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Export Summary" sheetId="1" r:id="rId4"/>
    <sheet name="Mamdoudé - Recipe" sheetId="2" r:id="rId5"/>
    <sheet name="Mamdoudé - Sample Recipe" sheetId="3" r:id="rId6"/>
    <sheet name="Mamdoudé - Drawings" sheetId="4" r:id="rId7"/>
    <sheet name="Bl Sayniyé - Sample Recipe" sheetId="5" r:id="rId8"/>
    <sheet name="Bl Sayniyé - Recipe" sheetId="6" r:id="rId9"/>
    <sheet name="Bl Sayniyé - Drawings" sheetId="7" r:id="rId10"/>
    <sheet name="Feta Kebbé - Sample Recipe" sheetId="8" r:id="rId11"/>
    <sheet name="Feta Kebbé - Recipe" sheetId="9" r:id="rId12"/>
    <sheet name="Feta Kebbé - Drawings" sheetId="10" r:id="rId13"/>
    <sheet name="Onion &amp; Pine - Sample Recipe" sheetId="11" r:id="rId14"/>
    <sheet name="Onion &amp; Pine - Recipe" sheetId="12" r:id="rId15"/>
    <sheet name="Onion &amp; Pine - Drawings" sheetId="13" r:id="rId16"/>
    <sheet name="Nayyé - Sample Recipe" sheetId="14" r:id="rId17"/>
    <sheet name="Nayyé - Recipe" sheetId="15" r:id="rId18"/>
    <sheet name="Nayyé - Drawings" sheetId="16" r:id="rId19"/>
    <sheet name="Hommos Kebbé - Sample Recipe" sheetId="17" r:id="rId20"/>
    <sheet name="Hommos Kebbé - Recipe" sheetId="18" r:id="rId21"/>
    <sheet name="Hommos Kebbé - Drawings" sheetId="19" r:id="rId22"/>
    <sheet name="Bou Emné - Sample Recipe" sheetId="20" r:id="rId23"/>
    <sheet name="Bou Emné - Recipe" sheetId="21" r:id="rId24"/>
    <sheet name="Bou Emné - Drawings" sheetId="22" r:id="rId25"/>
    <sheet name="La'tine - Sample Recipe" sheetId="23" r:id="rId26"/>
    <sheet name="La'tine - Recipe" sheetId="24" r:id="rId27"/>
    <sheet name="La'tine - Drawings" sheetId="25" r:id="rId28"/>
    <sheet name="Spiced Butter E'rass - Sample R" sheetId="26" r:id="rId29"/>
    <sheet name="Spiced Butter E'rass - Recipe" sheetId="27" r:id="rId30"/>
    <sheet name="Spiced Butter E'rass - Drawings" sheetId="28" r:id="rId31"/>
    <sheet name="Kabkoub Acovado - Sample Recipe" sheetId="29" r:id="rId32"/>
    <sheet name="Kabkoub Acovado - Recipe" sheetId="30" r:id="rId33"/>
    <sheet name="Kabkoub Acovado - Drawings" sheetId="31" r:id="rId34"/>
    <sheet name="Kabkoub Feta - Sample Recipe" sheetId="32" r:id="rId35"/>
    <sheet name="Kabkoub Feta - Recipe" sheetId="33" r:id="rId36"/>
    <sheet name="Kabkoub Feta - Drawings" sheetId="34" r:id="rId37"/>
    <sheet name="Kabkoub Onion - Sample Recipe" sheetId="35" r:id="rId38"/>
    <sheet name="Kabkoub Onion - Recipe" sheetId="36" r:id="rId39"/>
    <sheet name="Kabkoub Onion - Drawings" sheetId="37" r:id="rId40"/>
    <sheet name="Kabkoub Eggplant - Sample Recip" sheetId="38" r:id="rId41"/>
    <sheet name="Kabkoub Eggplant - Recipe" sheetId="39" r:id="rId42"/>
    <sheet name="Kabkoub Eggplant - Drawings" sheetId="40" r:id="rId43"/>
    <sheet name="Meat Kabkoub - Sample Recipe" sheetId="41" r:id="rId44"/>
    <sheet name="Meat Kabkoub - Recipe" sheetId="42" r:id="rId45"/>
    <sheet name="Meat Kabkoub - Drawings" sheetId="43" r:id="rId46"/>
    <sheet name="Tzatziki Kabkoub - Sample Recip" sheetId="44" r:id="rId47"/>
    <sheet name="Tzatziki Kabkoub - Recipe" sheetId="45" r:id="rId48"/>
    <sheet name="Tzatziki Kabkoub - Drawings" sheetId="46" r:id="rId49"/>
    <sheet name="Vegan Tartelettes - Recipe" sheetId="47" r:id="rId50"/>
    <sheet name="Vegan Tartelettes - Recipe-1" sheetId="48" r:id="rId51"/>
    <sheet name="Vegan Tartelettes - Drawings" sheetId="49" r:id="rId52"/>
    <sheet name="Other - Outsourced" sheetId="50" r:id="rId53"/>
  </sheets>
</workbook>
</file>

<file path=xl/sharedStrings.xml><?xml version="1.0" encoding="utf-8"?>
<sst xmlns="http://schemas.openxmlformats.org/spreadsheetml/2006/main" uniqueCount="132">
  <si>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</si>
  <si>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</si>
  <si>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</si>
  <si>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</si>
  <si>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Mamdoudé</t>
  </si>
  <si>
    <t>Recipe</t>
  </si>
  <si>
    <t>Mamdoudé - Recipe</t>
  </si>
  <si>
    <t>Ingredient</t>
  </si>
  <si>
    <t>Regular</t>
  </si>
  <si>
    <t>Small</t>
  </si>
  <si>
    <t>Meat</t>
  </si>
  <si>
    <t>g</t>
  </si>
  <si>
    <t>Borghol</t>
  </si>
  <si>
    <t>Olive Oil</t>
  </si>
  <si>
    <t>mL</t>
  </si>
  <si>
    <t>ml</t>
  </si>
  <si>
    <t>Salt</t>
  </si>
  <si>
    <t>tsp</t>
  </si>
  <si>
    <t>Ground Pepper</t>
  </si>
  <si>
    <t>Sample Recipe</t>
  </si>
  <si>
    <t>Mamdoudé - Sample Recipe</t>
  </si>
  <si>
    <t>Prepared for</t>
  </si>
  <si>
    <t>“All Drawings from the Sheet”</t>
  </si>
  <si>
    <t>Mamdoudé - Drawings</t>
  </si>
  <si>
    <t>Bl Sayniyé</t>
  </si>
  <si>
    <t>Bl Sayniyé - Sample Recipe</t>
  </si>
  <si>
    <t>Recipe serves</t>
  </si>
  <si>
    <t>Bl Sayniyé - Recipe</t>
  </si>
  <si>
    <t>Pine nuts</t>
  </si>
  <si>
    <t>Onion</t>
  </si>
  <si>
    <t>Butter</t>
  </si>
  <si>
    <t>tbsp</t>
  </si>
  <si>
    <t>tbs</t>
  </si>
  <si>
    <t>Pomegranate Molasse</t>
  </si>
  <si>
    <t>Bl Sayniyé - Drawings</t>
  </si>
  <si>
    <t>Feta Kebbé</t>
  </si>
  <si>
    <t>Feta Kebbé - Sample Recipe</t>
  </si>
  <si>
    <t>Feta Kebbé - Recipe</t>
  </si>
  <si>
    <t>Feta</t>
  </si>
  <si>
    <t>Walnuts</t>
  </si>
  <si>
    <t>Oregano</t>
  </si>
  <si>
    <t>White Pepper</t>
  </si>
  <si>
    <t>Paprika</t>
  </si>
  <si>
    <t>Feta Kebbé - Drawings</t>
  </si>
  <si>
    <t>Onion &amp; Pine</t>
  </si>
  <si>
    <t>Onion &amp; Pine - Sample Recipe</t>
  </si>
  <si>
    <t>Onion &amp; Pine - Recipe</t>
  </si>
  <si>
    <t>Black Pepper</t>
  </si>
  <si>
    <t>Onion &amp; Pine - Drawings</t>
  </si>
  <si>
    <t>Nayyé</t>
  </si>
  <si>
    <t>Nayyé - Sample Recipe</t>
  </si>
  <si>
    <t>Nayyé - Recipe</t>
  </si>
  <si>
    <t>Spring Onion</t>
  </si>
  <si>
    <t>Mint</t>
  </si>
  <si>
    <t>Nayyé - Drawings</t>
  </si>
  <si>
    <t>Hommos Kebbé</t>
  </si>
  <si>
    <t>Hommos Kebbé - Sample Recipe</t>
  </si>
  <si>
    <t>Hommos Kebbé - Recipe</t>
  </si>
  <si>
    <t>Chickpeas</t>
  </si>
  <si>
    <t>cup</t>
  </si>
  <si>
    <t>Flour</t>
  </si>
  <si>
    <t>Dried Mint</t>
  </si>
  <si>
    <t>Crushed Kaak</t>
  </si>
  <si>
    <t>Hommos Kebbé - Drawings</t>
  </si>
  <si>
    <t>Bou Emné</t>
  </si>
  <si>
    <t>Bou Emné - Sample Recipe</t>
  </si>
  <si>
    <t>Bou Emné - Recipe</t>
  </si>
  <si>
    <t>Pomegranate</t>
  </si>
  <si>
    <t>Cumin</t>
  </si>
  <si>
    <t>Bou Emné - Drawings</t>
  </si>
  <si>
    <t>La'tine</t>
  </si>
  <si>
    <t>La'tine - Sample Recipe</t>
  </si>
  <si>
    <t>La'tine - Recipe</t>
  </si>
  <si>
    <t>Pumpkin</t>
  </si>
  <si>
    <t>kg</t>
  </si>
  <si>
    <t>Spinach</t>
  </si>
  <si>
    <t>Summac</t>
  </si>
  <si>
    <t>Lemon Zest</t>
  </si>
  <si>
    <t>La'tine - Drawings</t>
  </si>
  <si>
    <t>Spiced Butter E'rass</t>
  </si>
  <si>
    <t>Spiced Butter E'rass - Sample R</t>
  </si>
  <si>
    <t>Spiced Butter E'rass - Recipe</t>
  </si>
  <si>
    <t>Red Pepper</t>
  </si>
  <si>
    <t>Pinch</t>
  </si>
  <si>
    <t>Dried Mind</t>
  </si>
  <si>
    <t>Spiced Butter E'rass - Drawings</t>
  </si>
  <si>
    <t>Kabkoub Acovado</t>
  </si>
  <si>
    <t>Kabkoub Acovado - Sample Recipe</t>
  </si>
  <si>
    <t>Kabkoub Acovado - Recipe</t>
  </si>
  <si>
    <t>Labneh</t>
  </si>
  <si>
    <t>Avocado</t>
  </si>
  <si>
    <t>Lemon Juice</t>
  </si>
  <si>
    <t>Kabkoub Acovado - Drawings</t>
  </si>
  <si>
    <t>Kabkoub Feta</t>
  </si>
  <si>
    <t>Kabkoub Feta - Sample Recipe</t>
  </si>
  <si>
    <t>Kabkoub Feta - Recipe</t>
  </si>
  <si>
    <t>Walsnuts</t>
  </si>
  <si>
    <t>3g</t>
  </si>
  <si>
    <t>Kabkoub Feta - Drawings</t>
  </si>
  <si>
    <t>Kabkoub Onion</t>
  </si>
  <si>
    <t>Kabkoub Onion - Sample Recipe</t>
  </si>
  <si>
    <t>Kabkoub Onion - Recipe</t>
  </si>
  <si>
    <t>Dried Almonds</t>
  </si>
  <si>
    <t>Pom. Molasses</t>
  </si>
  <si>
    <t>Kabkoub Onion - Drawings</t>
  </si>
  <si>
    <t>Kabkoub Eggplant</t>
  </si>
  <si>
    <t>Kabkoub Eggplant - Sample Recip</t>
  </si>
  <si>
    <t>Kabkoub Eggplant - Recipe</t>
  </si>
  <si>
    <t>Eggplant</t>
  </si>
  <si>
    <t>Pomegrante</t>
  </si>
  <si>
    <t>Kabkoub Eggplant - Drawings</t>
  </si>
  <si>
    <t>Meat Kabkoub</t>
  </si>
  <si>
    <t>Meat Kabkoub - Sample Recipe</t>
  </si>
  <si>
    <t>Meat Kabkoub - Recipe</t>
  </si>
  <si>
    <t>Minced Meat</t>
  </si>
  <si>
    <t>Pine Nuts</t>
  </si>
  <si>
    <t>Pinch Salt</t>
  </si>
  <si>
    <t>Pinch Ground Pepper</t>
  </si>
  <si>
    <t>Meat Kabkoub - Drawings</t>
  </si>
  <si>
    <t>Tzatziki Kabkoub</t>
  </si>
  <si>
    <t>Tzatziki Kabkoub - Sample Recip</t>
  </si>
  <si>
    <t>Tzatziki Kabkoub - Recipe</t>
  </si>
  <si>
    <t>Tzatziki Sauce</t>
  </si>
  <si>
    <t>Tzatziki Kabkoub - Drawings</t>
  </si>
  <si>
    <t>Vegan Tartelettes</t>
  </si>
  <si>
    <t>Vegan Tartelettes - Recipe</t>
  </si>
  <si>
    <t>Hommos</t>
  </si>
  <si>
    <t>Recipe-1</t>
  </si>
  <si>
    <t>Vegan Tartelettes - Recipe-1</t>
  </si>
  <si>
    <t>Tahini Sauce</t>
  </si>
  <si>
    <t>Vegan Tartelettes - Drawings</t>
  </si>
  <si>
    <t>Other - Outsourced</t>
  </si>
</sst>
</file>

<file path=xl/styles.xml><?xml version="1.0" encoding="utf-8"?>
<styleSheet xmlns="http://schemas.openxmlformats.org/spreadsheetml/2006/main">
  <numFmts count="2">
    <numFmt numFmtId="0" formatCode="General"/>
    <numFmt numFmtId="59" formatCode="# ###/###"/>
  </numFmts>
  <fonts count="17">
    <font>
      <sz val="10"/>
      <color indexed="8"/>
      <name val="Baskerville"/>
    </font>
    <font>
      <sz val="12"/>
      <color indexed="8"/>
      <name val="Baskerville"/>
    </font>
    <font>
      <sz val="12"/>
      <color indexed="10"/>
      <name val="Baskerville"/>
    </font>
    <font>
      <sz val="14"/>
      <color indexed="10"/>
      <name val="Baskerville"/>
    </font>
    <font>
      <sz val="10"/>
      <color indexed="10"/>
      <name val="Baskerville"/>
    </font>
    <font>
      <u val="single"/>
      <sz val="12"/>
      <color indexed="12"/>
      <name val="Baskerville"/>
    </font>
    <font>
      <sz val="11"/>
      <color indexed="10"/>
      <name val="Baskerville"/>
    </font>
    <font>
      <sz val="12"/>
      <color indexed="13"/>
      <name val="Baskerville SemiBold"/>
    </font>
    <font>
      <sz val="13"/>
      <color indexed="13"/>
      <name val="Baskerville SemiBold"/>
    </font>
    <font>
      <sz val="10"/>
      <color indexed="13"/>
      <name val="Baskerville SemiBold"/>
    </font>
    <font>
      <b val="1"/>
      <sz val="11"/>
      <color indexed="10"/>
      <name val="Baskerville"/>
    </font>
    <font>
      <sz val="32"/>
      <color indexed="18"/>
      <name val="Baskerville"/>
    </font>
    <font>
      <sz val="14"/>
      <color indexed="13"/>
      <name val="Baskerville SemiBold"/>
    </font>
    <font>
      <b val="1"/>
      <sz val="12"/>
      <color indexed="13"/>
      <name val="Georgia"/>
    </font>
    <font>
      <b val="1"/>
      <u val="single"/>
      <sz val="12"/>
      <color indexed="13"/>
      <name val="Georgia"/>
    </font>
    <font>
      <b val="1"/>
      <i val="1"/>
      <u val="single"/>
      <sz val="12"/>
      <color indexed="13"/>
      <name val="Georgia"/>
    </font>
    <font>
      <b val="1"/>
      <sz val="19"/>
      <color indexed="10"/>
      <name val="Baskerville"/>
    </font>
  </fonts>
  <fills count="7">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4"/>
        <bgColor auto="1"/>
      </patternFill>
    </fill>
    <fill>
      <patternFill patternType="solid">
        <fgColor indexed="17"/>
        <bgColor auto="1"/>
      </patternFill>
    </fill>
    <fill>
      <patternFill patternType="solid">
        <fgColor indexed="19"/>
        <bgColor auto="1"/>
      </patternFill>
    </fill>
  </fills>
  <borders count="8">
    <border>
      <left/>
      <right/>
      <top/>
      <bottom/>
      <diagonal/>
    </border>
    <border>
      <left/>
      <right/>
      <top/>
      <bottom style="thin">
        <color indexed="15"/>
      </bottom>
      <diagonal/>
    </border>
    <border>
      <left/>
      <right/>
      <top style="thin">
        <color indexed="15"/>
      </top>
      <bottom style="thin">
        <color indexed="16"/>
      </bottom>
      <diagonal/>
    </border>
    <border>
      <left/>
      <right/>
      <top style="thin">
        <color indexed="16"/>
      </top>
      <bottom style="thin">
        <color indexed="16"/>
      </bottom>
      <diagonal/>
    </border>
    <border>
      <left/>
      <right/>
      <top style="thin">
        <color indexed="16"/>
      </top>
      <bottom style="thin">
        <color indexed="15"/>
      </bottom>
      <diagonal/>
    </border>
    <border>
      <left/>
      <right/>
      <top style="thin">
        <color indexed="15"/>
      </top>
      <bottom style="thin">
        <color indexed="15"/>
      </bottom>
      <diagonal/>
    </border>
    <border>
      <left/>
      <right/>
      <top style="thin">
        <color indexed="16"/>
      </top>
      <bottom/>
      <diagonal/>
    </border>
    <border>
      <left/>
      <right/>
      <top style="thin">
        <color indexed="15"/>
      </top>
      <bottom/>
      <diagonal/>
    </border>
  </borders>
  <cellStyleXfs count="1">
    <xf numFmtId="0" fontId="0" applyNumberFormat="0" applyFont="1" applyFill="0" applyBorder="0" applyAlignment="1" applyProtection="0">
      <alignment vertical="top" wrapText="1"/>
    </xf>
  </cellStyleXfs>
  <cellXfs count="94">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3" applyNumberFormat="0" applyFont="1" applyFill="0" applyBorder="0" applyAlignment="1" applyProtection="0">
      <alignment horizontal="left" vertical="top" wrapText="1"/>
    </xf>
    <xf numFmtId="0" fontId="2" fillId="2" applyNumberFormat="0" applyFont="1" applyFill="1" applyBorder="0" applyAlignment="1" applyProtection="0">
      <alignment horizontal="left" vertical="top" wrapText="1"/>
    </xf>
    <xf numFmtId="0" fontId="2" fillId="3" applyNumberFormat="0" applyFont="1" applyFill="1" applyBorder="0" applyAlignment="1" applyProtection="0">
      <alignment horizontal="left" vertical="top" wrapText="1"/>
    </xf>
    <xf numFmtId="0" fontId="5" fillId="3" applyNumberFormat="0" applyFont="1" applyFill="1" applyBorder="0" applyAlignment="1" applyProtection="0">
      <alignment horizontal="left" vertical="top" wrapText="1"/>
    </xf>
    <xf numFmtId="0" fontId="6" applyNumberFormat="1" applyFont="1" applyFill="0" applyBorder="0" applyAlignment="1" applyProtection="0">
      <alignment vertical="top" wrapText="1"/>
    </xf>
    <xf numFmtId="49" fontId="8" fillId="4" borderId="1" applyNumberFormat="1" applyFont="1" applyFill="1" applyBorder="1" applyAlignment="1" applyProtection="0">
      <alignment horizontal="center" vertical="top" wrapText="1"/>
    </xf>
    <xf numFmtId="0" fontId="9" fillId="4" borderId="1" applyNumberFormat="0" applyFont="1" applyFill="1" applyBorder="1" applyAlignment="1" applyProtection="0">
      <alignment vertical="top" wrapText="1"/>
    </xf>
    <xf numFmtId="49" fontId="9" fillId="4" borderId="1" applyNumberFormat="1" applyFont="1" applyFill="1" applyBorder="1" applyAlignment="1" applyProtection="0">
      <alignment vertical="top" wrapText="1"/>
    </xf>
    <xf numFmtId="49" fontId="10" borderId="2" applyNumberFormat="1" applyFont="1" applyFill="0" applyBorder="1" applyAlignment="1" applyProtection="0">
      <alignment vertical="top" wrapText="1"/>
    </xf>
    <xf numFmtId="59" fontId="6" fillId="5" borderId="2" applyNumberFormat="1" applyFont="1" applyFill="1" applyBorder="1" applyAlignment="1" applyProtection="0">
      <alignment vertical="top" wrapText="1"/>
    </xf>
    <xf numFmtId="49" fontId="6" borderId="2" applyNumberFormat="1" applyFont="1" applyFill="0" applyBorder="1" applyAlignment="1" applyProtection="0">
      <alignment vertical="top" wrapText="1"/>
    </xf>
    <xf numFmtId="59" fontId="6" borderId="2" applyNumberFormat="1" applyFont="1" applyFill="0" applyBorder="1" applyAlignment="1" applyProtection="0">
      <alignment vertical="top" wrapText="1"/>
    </xf>
    <xf numFmtId="49" fontId="10" borderId="3" applyNumberFormat="1" applyFont="1" applyFill="0" applyBorder="1" applyAlignment="1" applyProtection="0">
      <alignment vertical="top" wrapText="1"/>
    </xf>
    <xf numFmtId="59" fontId="6" fillId="5" borderId="3" applyNumberFormat="1" applyFont="1" applyFill="1" applyBorder="1" applyAlignment="1" applyProtection="0">
      <alignment vertical="top" wrapText="1"/>
    </xf>
    <xf numFmtId="49" fontId="6" borderId="3" applyNumberFormat="1" applyFont="1" applyFill="0" applyBorder="1" applyAlignment="1" applyProtection="0">
      <alignment vertical="top" wrapText="1"/>
    </xf>
    <xf numFmtId="59" fontId="6" borderId="3" applyNumberFormat="1" applyFont="1" applyFill="0" applyBorder="1" applyAlignment="1" applyProtection="0">
      <alignment vertical="top" wrapText="1"/>
    </xf>
    <xf numFmtId="49" fontId="10" borderId="4" applyNumberFormat="1" applyFont="1" applyFill="0" applyBorder="1" applyAlignment="1" applyProtection="0">
      <alignment vertical="top" wrapText="1"/>
    </xf>
    <xf numFmtId="59" fontId="6" fillId="5" borderId="4" applyNumberFormat="1" applyFont="1" applyFill="1" applyBorder="1" applyAlignment="1" applyProtection="0">
      <alignment vertical="top" wrapText="1"/>
    </xf>
    <xf numFmtId="49" fontId="6" borderId="4" applyNumberFormat="1" applyFont="1" applyFill="0" applyBorder="1" applyAlignment="1" applyProtection="0">
      <alignment vertical="top" wrapText="1"/>
    </xf>
    <xf numFmtId="59" fontId="6" borderId="4" applyNumberFormat="1" applyFont="1" applyFill="0" applyBorder="1" applyAlignment="1" applyProtection="0">
      <alignment vertical="top" wrapText="1"/>
    </xf>
    <xf numFmtId="49" fontId="10" borderId="5" applyNumberFormat="1" applyFont="1" applyFill="0" applyBorder="1" applyAlignment="1" applyProtection="0">
      <alignment vertical="top" wrapText="1"/>
    </xf>
    <xf numFmtId="59" fontId="6" fillId="5" borderId="5" applyNumberFormat="1" applyFont="1" applyFill="1" applyBorder="1" applyAlignment="1" applyProtection="0">
      <alignment vertical="top" wrapText="1"/>
    </xf>
    <xf numFmtId="49" fontId="6" borderId="5" applyNumberFormat="1" applyFont="1" applyFill="0" applyBorder="1" applyAlignment="1" applyProtection="0">
      <alignment vertical="top" wrapText="1"/>
    </xf>
    <xf numFmtId="49" fontId="6" borderId="6" applyNumberFormat="1" applyFont="1" applyFill="0" applyBorder="1" applyAlignment="1" applyProtection="0">
      <alignment vertical="top" wrapText="1"/>
    </xf>
    <xf numFmtId="59" fontId="6" borderId="5" applyNumberFormat="1" applyFont="1" applyFill="0" applyBorder="1" applyAlignment="1" applyProtection="0">
      <alignment vertical="top" wrapText="1"/>
    </xf>
    <xf numFmtId="0" fontId="6" applyNumberFormat="1" applyFont="1" applyFill="0" applyBorder="0" applyAlignment="1" applyProtection="0">
      <alignment vertical="top" wrapText="1"/>
    </xf>
    <xf numFmtId="49" fontId="9" fillId="4" borderId="1" applyNumberFormat="1" applyFont="1" applyFill="1" applyBorder="1" applyAlignment="1" applyProtection="0">
      <alignment horizontal="center" vertical="top" wrapText="1"/>
    </xf>
    <xf numFmtId="1" fontId="6" fillId="5" borderId="5" applyNumberFormat="1" applyFont="1" applyFill="1" applyBorder="1" applyAlignment="1" applyProtection="0">
      <alignment vertical="top" wrapText="1"/>
    </xf>
    <xf numFmtId="0" fontId="6" applyNumberFormat="1" applyFont="1" applyFill="0" applyBorder="0" applyAlignment="1" applyProtection="0">
      <alignment vertical="top" wrapText="1"/>
    </xf>
    <xf numFmtId="0" fontId="7" applyNumberFormat="0" applyFont="1" applyFill="0" applyBorder="0" applyAlignment="1" applyProtection="0">
      <alignment horizontal="center" vertical="center"/>
    </xf>
    <xf numFmtId="0" fontId="6" applyNumberFormat="1" applyFont="1" applyFill="0" applyBorder="0" applyAlignment="1" applyProtection="0">
      <alignment vertical="top" wrapText="1"/>
    </xf>
    <xf numFmtId="49" fontId="8" fillId="4" borderId="1" applyNumberFormat="1" applyFont="1" applyFill="1" applyBorder="1" applyAlignment="1" applyProtection="0">
      <alignment vertical="top" wrapText="1"/>
    </xf>
    <xf numFmtId="0" fontId="6" applyNumberFormat="1" applyFont="1" applyFill="0" applyBorder="0" applyAlignment="1" applyProtection="0">
      <alignment vertical="top" wrapText="1"/>
    </xf>
    <xf numFmtId="49" fontId="6" fillId="6" borderId="5" applyNumberFormat="1" applyFont="1" applyFill="1" applyBorder="1" applyAlignment="1" applyProtection="0">
      <alignment vertical="top" wrapText="1"/>
    </xf>
    <xf numFmtId="0" fontId="6" applyNumberFormat="1" applyFont="1" applyFill="0" applyBorder="0" applyAlignment="1" applyProtection="0">
      <alignment vertical="top" wrapText="1"/>
    </xf>
    <xf numFmtId="49" fontId="12" fillId="4" borderId="1" applyNumberFormat="1" applyFont="1" applyFill="1" applyBorder="1"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49" fontId="7" fillId="4" borderId="1" applyNumberFormat="1" applyFont="1" applyFill="1" applyBorder="1" applyAlignment="1" applyProtection="0">
      <alignment vertical="top" wrapText="1"/>
    </xf>
    <xf numFmtId="0" fontId="6" borderId="3" applyNumberFormat="0" applyFont="1" applyFill="0" applyBorder="1" applyAlignment="1" applyProtection="0">
      <alignment vertical="top" wrapText="1"/>
    </xf>
    <xf numFmtId="0" fontId="6" borderId="3" applyNumberFormat="1" applyFont="1" applyFill="0" applyBorder="1" applyAlignment="1" applyProtection="0">
      <alignment vertical="top" wrapText="1"/>
    </xf>
    <xf numFmtId="0" fontId="6" borderId="4" applyNumberFormat="0" applyFont="1" applyFill="0" applyBorder="1" applyAlignment="1" applyProtection="0">
      <alignment vertical="top" wrapText="1"/>
    </xf>
    <xf numFmtId="0" fontId="6" borderId="4" applyNumberFormat="1" applyFont="1" applyFill="0" applyBorder="1"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0" fontId="6" borderId="5" applyNumberFormat="0" applyFont="1" applyFill="0" applyBorder="1" applyAlignment="1" applyProtection="0">
      <alignment vertical="top" wrapText="1"/>
    </xf>
    <xf numFmtId="0" fontId="6" borderId="5" applyNumberFormat="1" applyFont="1" applyFill="0" applyBorder="1"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49" fontId="6" fillId="5" borderId="3" applyNumberFormat="1" applyFont="1" applyFill="1" applyBorder="1" applyAlignment="1" applyProtection="0">
      <alignment horizontal="right" vertical="top" wrapText="1"/>
    </xf>
    <xf numFmtId="49" fontId="6" fillId="5" borderId="4" applyNumberFormat="1" applyFont="1" applyFill="1" applyBorder="1" applyAlignment="1" applyProtection="0">
      <alignment horizontal="right" vertical="top" wrapText="1"/>
    </xf>
    <xf numFmtId="49" fontId="6" fillId="5" borderId="5" applyNumberFormat="1" applyFont="1" applyFill="1" applyBorder="1" applyAlignment="1" applyProtection="0">
      <alignment horizontal="righ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49" fontId="6" fillId="5" borderId="5" applyNumberFormat="1" applyFont="1" applyFill="1" applyBorder="1" applyAlignment="1" applyProtection="0">
      <alignment horizontal="center" vertical="top" wrapText="1"/>
    </xf>
    <xf numFmtId="0" fontId="6" borderId="6" applyNumberFormat="1" applyFont="1" applyFill="0" applyBorder="1"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49" fontId="6" fillId="5" borderId="4" applyNumberFormat="1" applyFont="1" applyFill="1" applyBorder="1" applyAlignment="1" applyProtection="0">
      <alignment vertical="top" wrapText="1"/>
    </xf>
    <xf numFmtId="49" fontId="6" fillId="5" borderId="5" applyNumberFormat="1" applyFont="1" applyFill="1" applyBorder="1"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59" fontId="6" fillId="5" borderId="5" applyNumberFormat="1" applyFont="1" applyFill="1" applyBorder="1" applyAlignment="1" applyProtection="0">
      <alignment horizontal="center"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49" fontId="7" fillId="4" borderId="1" applyNumberFormat="1" applyFont="1" applyFill="1" applyBorder="1" applyAlignment="1" applyProtection="0">
      <alignment horizontal="center" vertical="top" wrapText="1"/>
    </xf>
    <xf numFmtId="59" fontId="6" fillId="5" borderId="4" applyNumberFormat="1" applyFont="1" applyFill="1" applyBorder="1" applyAlignment="1" applyProtection="0">
      <alignment horizontal="center" vertical="top" wrapText="1"/>
    </xf>
    <xf numFmtId="0" fontId="6" fillId="5" borderId="5" applyNumberFormat="0" applyFont="1" applyFill="1" applyBorder="1" applyAlignment="1" applyProtection="0">
      <alignment vertical="top" wrapText="1"/>
    </xf>
    <xf numFmtId="49" fontId="10" borderId="6" applyNumberFormat="1" applyFont="1" applyFill="0" applyBorder="1" applyAlignment="1" applyProtection="0">
      <alignment vertical="top" wrapText="1"/>
    </xf>
    <xf numFmtId="59" fontId="6" fillId="5" borderId="6" applyNumberFormat="1" applyFont="1" applyFill="1" applyBorder="1" applyAlignment="1" applyProtection="0">
      <alignment vertical="top" wrapText="1"/>
    </xf>
    <xf numFmtId="59" fontId="6" borderId="6" applyNumberFormat="1" applyFont="1" applyFill="0" applyBorder="1" applyAlignment="1" applyProtection="0">
      <alignment vertical="top" wrapText="1"/>
    </xf>
    <xf numFmtId="0" fontId="6" borderId="6" applyNumberFormat="0" applyFont="1" applyFill="0" applyBorder="1"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49" fontId="10" borderId="7" applyNumberFormat="1" applyFont="1" applyFill="0" applyBorder="1" applyAlignment="1" applyProtection="0">
      <alignment vertical="top" wrapText="1"/>
    </xf>
    <xf numFmtId="59" fontId="6" fillId="5" borderId="7" applyNumberFormat="1" applyFont="1" applyFill="1" applyBorder="1" applyAlignment="1" applyProtection="0">
      <alignment vertical="top" wrapText="1"/>
    </xf>
    <xf numFmtId="49" fontId="6" borderId="7" applyNumberFormat="1" applyFont="1" applyFill="0" applyBorder="1" applyAlignment="1" applyProtection="0">
      <alignment vertical="top" wrapText="1"/>
    </xf>
    <xf numFmtId="59" fontId="6" borderId="7" applyNumberFormat="1" applyFont="1" applyFill="0" applyBorder="1" applyAlignment="1" applyProtection="0">
      <alignment vertical="top" wrapText="1"/>
    </xf>
    <xf numFmtId="0" fontId="6" applyNumberFormat="1" applyFont="1" applyFill="0" applyBorder="0" applyAlignment="1" applyProtection="0">
      <alignment vertical="top" wrapText="1"/>
    </xf>
    <xf numFmtId="0" fontId="6" fillId="5" borderId="3" applyNumberFormat="0" applyFont="1" applyFill="1" applyBorder="1" applyAlignment="1" applyProtection="0">
      <alignment vertical="top" wrapText="1"/>
    </xf>
    <xf numFmtId="49" fontId="6" fillId="5" borderId="3" applyNumberFormat="1" applyFont="1" applyFill="1" applyBorder="1" applyAlignment="1" applyProtection="0">
      <alignment vertical="top" wrapText="1"/>
    </xf>
    <xf numFmtId="0" fontId="6" fillId="5" borderId="6" applyNumberFormat="0" applyFont="1" applyFill="1" applyBorder="1" applyAlignment="1" applyProtection="0">
      <alignment vertical="top" wrapText="1"/>
    </xf>
    <xf numFmtId="49" fontId="6" fillId="5" borderId="6" applyNumberFormat="1" applyFont="1" applyFill="1" applyBorder="1" applyAlignment="1" applyProtection="0">
      <alignment vertical="top" wrapText="1"/>
    </xf>
    <xf numFmtId="0" fontId="6"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314924"/>
      <rgbColor rgb="015e88b1"/>
      <rgbColor rgb="ff000000"/>
      <rgbColor rgb="01eef3f4"/>
      <rgbColor rgb="ff0000ff"/>
      <rgbColor rgb="ff444344"/>
      <rgbColor rgb="ffd6dfe7"/>
      <rgbColor rgb="ff99948e"/>
      <rgbColor rgb="ffe5e4e2"/>
      <rgbColor rgb="fffef6e8"/>
      <rgbColor rgb="ffdc5921"/>
      <rgbColor rgb="fff2f4f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5</xdr:col>
      <xdr:colOff>127039</xdr:colOff>
      <xdr:row>9</xdr:row>
      <xdr:rowOff>135255</xdr:rowOff>
    </xdr:to>
    <xdr:sp>
      <xdr:nvSpPr>
        <xdr:cNvPr id="2" name="Shape 2"/>
        <xdr:cNvSpPr txBox="1"/>
      </xdr:nvSpPr>
      <xdr:spPr>
        <a:xfrm>
          <a:off x="-19050" y="-105728"/>
          <a:ext cx="3302040" cy="162115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Kebbé Mamdoudé</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3" name="Shape 3"/>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5</xdr:col>
      <xdr:colOff>54697</xdr:colOff>
      <xdr:row>13</xdr:row>
      <xdr:rowOff>15240</xdr:rowOff>
    </xdr:to>
    <xdr:sp>
      <xdr:nvSpPr>
        <xdr:cNvPr id="5" name="Shape 5"/>
        <xdr:cNvSpPr txBox="1"/>
      </xdr:nvSpPr>
      <xdr:spPr>
        <a:xfrm>
          <a:off x="-19050" y="-140970"/>
          <a:ext cx="3229698" cy="216154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Kebbé Bl Sayniyé </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6" name="Shape 6"/>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3</xdr:col>
      <xdr:colOff>152257</xdr:colOff>
      <xdr:row>16</xdr:row>
      <xdr:rowOff>60325</xdr:rowOff>
    </xdr:to>
    <xdr:sp>
      <xdr:nvSpPr>
        <xdr:cNvPr id="8" name="Shape 8"/>
        <xdr:cNvSpPr txBox="1"/>
      </xdr:nvSpPr>
      <xdr:spPr>
        <a:xfrm>
          <a:off x="-19050" y="-176213"/>
          <a:ext cx="2057258" cy="270192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Feta Kebbé</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9" name="Shape 9"/>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5</xdr:col>
      <xdr:colOff>204319</xdr:colOff>
      <xdr:row>13</xdr:row>
      <xdr:rowOff>15240</xdr:rowOff>
    </xdr:to>
    <xdr:sp>
      <xdr:nvSpPr>
        <xdr:cNvPr id="11" name="Shape 11"/>
        <xdr:cNvSpPr txBox="1"/>
      </xdr:nvSpPr>
      <xdr:spPr>
        <a:xfrm>
          <a:off x="-19050" y="-140970"/>
          <a:ext cx="3379320" cy="216154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Onion &amp; Pine Nuts</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12" name="Shape 12"/>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3</xdr:col>
      <xdr:colOff>517080</xdr:colOff>
      <xdr:row>13</xdr:row>
      <xdr:rowOff>15240</xdr:rowOff>
    </xdr:to>
    <xdr:sp>
      <xdr:nvSpPr>
        <xdr:cNvPr id="14" name="Shape 14"/>
        <xdr:cNvSpPr txBox="1"/>
      </xdr:nvSpPr>
      <xdr:spPr>
        <a:xfrm>
          <a:off x="-19050" y="-140970"/>
          <a:ext cx="2422081" cy="216154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Kebbé Nayyé</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15" name="Shape 15"/>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4</xdr:col>
      <xdr:colOff>364378</xdr:colOff>
      <xdr:row>16</xdr:row>
      <xdr:rowOff>60325</xdr:rowOff>
    </xdr:to>
    <xdr:sp>
      <xdr:nvSpPr>
        <xdr:cNvPr id="17" name="Shape 17"/>
        <xdr:cNvSpPr txBox="1"/>
      </xdr:nvSpPr>
      <xdr:spPr>
        <a:xfrm>
          <a:off x="-19050" y="-176213"/>
          <a:ext cx="2904379" cy="270192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Hommos Kebbé</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 </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18" name="Shape 18"/>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4</xdr:col>
      <xdr:colOff>592574</xdr:colOff>
      <xdr:row>19</xdr:row>
      <xdr:rowOff>105410</xdr:rowOff>
    </xdr:to>
    <xdr:sp>
      <xdr:nvSpPr>
        <xdr:cNvPr id="20" name="Shape 20"/>
        <xdr:cNvSpPr txBox="1"/>
      </xdr:nvSpPr>
      <xdr:spPr>
        <a:xfrm>
          <a:off x="-19050" y="-211455"/>
          <a:ext cx="3132575" cy="324231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Kebbé Bou Emné</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 </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21" name="Shape 21"/>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8.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10</xdr:col>
      <xdr:colOff>546100</xdr:colOff>
      <xdr:row>22</xdr:row>
      <xdr:rowOff>150495</xdr:rowOff>
    </xdr:to>
    <xdr:sp>
      <xdr:nvSpPr>
        <xdr:cNvPr id="23" name="Shape 23"/>
        <xdr:cNvSpPr txBox="1"/>
      </xdr:nvSpPr>
      <xdr:spPr>
        <a:xfrm>
          <a:off x="-114300" y="-358585"/>
          <a:ext cx="6896100" cy="378269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Kebbet La’tin</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 </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1</xdr:row>
      <xdr:rowOff>25400</xdr:rowOff>
    </xdr:from>
    <xdr:to>
      <xdr:col>10</xdr:col>
      <xdr:colOff>508000</xdr:colOff>
      <xdr:row>1</xdr:row>
      <xdr:rowOff>25400</xdr:rowOff>
    </xdr:to>
    <xdr:sp>
      <xdr:nvSpPr>
        <xdr:cNvPr id="24" name="Shape 24"/>
        <xdr:cNvSpPr/>
      </xdr:nvSpPr>
      <xdr:spPr>
        <a:xfrm>
          <a:off x="-86344" y="190499"/>
          <a:ext cx="6858001" cy="2"/>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9.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7</xdr:col>
      <xdr:colOff>461843</xdr:colOff>
      <xdr:row>19</xdr:row>
      <xdr:rowOff>105410</xdr:rowOff>
    </xdr:to>
    <xdr:sp>
      <xdr:nvSpPr>
        <xdr:cNvPr id="26" name="Shape 26"/>
        <xdr:cNvSpPr txBox="1"/>
      </xdr:nvSpPr>
      <xdr:spPr>
        <a:xfrm>
          <a:off x="-19050" y="-211455"/>
          <a:ext cx="4906844" cy="324231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Spiced Butter E’rass (1 Unit)</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27" name="Shape 27"/>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10.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7</xdr:col>
      <xdr:colOff>228298</xdr:colOff>
      <xdr:row>16</xdr:row>
      <xdr:rowOff>60325</xdr:rowOff>
    </xdr:to>
    <xdr:sp>
      <xdr:nvSpPr>
        <xdr:cNvPr id="29" name="Shape 29"/>
        <xdr:cNvSpPr txBox="1"/>
      </xdr:nvSpPr>
      <xdr:spPr>
        <a:xfrm>
          <a:off x="-19050" y="-176213"/>
          <a:ext cx="4673299" cy="270192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Kabkoubé Avocado (1 size)</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30" name="Shape 30"/>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1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4</xdr:col>
      <xdr:colOff>166433</xdr:colOff>
      <xdr:row>26</xdr:row>
      <xdr:rowOff>30480</xdr:rowOff>
    </xdr:to>
    <xdr:sp>
      <xdr:nvSpPr>
        <xdr:cNvPr id="32" name="Shape 32"/>
        <xdr:cNvSpPr txBox="1"/>
      </xdr:nvSpPr>
      <xdr:spPr>
        <a:xfrm>
          <a:off x="-19050" y="-281940"/>
          <a:ext cx="2706434" cy="432308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Kabkoubé Feta</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33" name="Shape 33"/>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1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8</xdr:col>
      <xdr:colOff>12898</xdr:colOff>
      <xdr:row>29</xdr:row>
      <xdr:rowOff>75565</xdr:rowOff>
    </xdr:to>
    <xdr:sp>
      <xdr:nvSpPr>
        <xdr:cNvPr id="35" name="Shape 35"/>
        <xdr:cNvSpPr txBox="1"/>
      </xdr:nvSpPr>
      <xdr:spPr>
        <a:xfrm>
          <a:off x="-19050" y="-317183"/>
          <a:ext cx="5092899" cy="486346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Kabkoubé Onion &amp; Almonds</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36" name="Shape 36"/>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1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5</xdr:col>
      <xdr:colOff>339653</xdr:colOff>
      <xdr:row>32</xdr:row>
      <xdr:rowOff>120650</xdr:rowOff>
    </xdr:to>
    <xdr:sp>
      <xdr:nvSpPr>
        <xdr:cNvPr id="38" name="Shape 38"/>
        <xdr:cNvSpPr txBox="1"/>
      </xdr:nvSpPr>
      <xdr:spPr>
        <a:xfrm>
          <a:off x="-19050" y="-352425"/>
          <a:ext cx="3514654" cy="540385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Kabkoubé Eggplant</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39" name="Shape 39"/>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1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4</xdr:col>
      <xdr:colOff>345027</xdr:colOff>
      <xdr:row>36</xdr:row>
      <xdr:rowOff>635</xdr:rowOff>
    </xdr:to>
    <xdr:sp>
      <xdr:nvSpPr>
        <xdr:cNvPr id="41" name="Shape 41"/>
        <xdr:cNvSpPr txBox="1"/>
      </xdr:nvSpPr>
      <xdr:spPr>
        <a:xfrm>
          <a:off x="-19050" y="-387668"/>
          <a:ext cx="2885028" cy="594423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Meat Kabkoubé</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42" name="Shape 42"/>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1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5</xdr:col>
      <xdr:colOff>161853</xdr:colOff>
      <xdr:row>36</xdr:row>
      <xdr:rowOff>635</xdr:rowOff>
    </xdr:to>
    <xdr:sp>
      <xdr:nvSpPr>
        <xdr:cNvPr id="44" name="Shape 44"/>
        <xdr:cNvSpPr txBox="1"/>
      </xdr:nvSpPr>
      <xdr:spPr>
        <a:xfrm>
          <a:off x="-19050" y="-387668"/>
          <a:ext cx="3336854" cy="594423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Kabkoubé Taztziki</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45" name="Shape 45"/>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twoCellAnchor>
    <xdr:from>
      <xdr:col>0</xdr:col>
      <xdr:colOff>0</xdr:colOff>
      <xdr:row>12</xdr:row>
      <xdr:rowOff>88265</xdr:rowOff>
    </xdr:from>
    <xdr:to>
      <xdr:col>6</xdr:col>
      <xdr:colOff>227781</xdr:colOff>
      <xdr:row>24</xdr:row>
      <xdr:rowOff>64134</xdr:rowOff>
    </xdr:to>
    <xdr:sp>
      <xdr:nvSpPr>
        <xdr:cNvPr id="46" name="Shape 46"/>
        <xdr:cNvSpPr txBox="1"/>
      </xdr:nvSpPr>
      <xdr:spPr>
        <a:xfrm>
          <a:off x="-19051" y="2069464"/>
          <a:ext cx="4037783" cy="195707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rtl="0" latinLnBrk="0">
            <a:lnSpc>
              <a:spcPct val="100000"/>
            </a:lnSpc>
            <a:spcBef>
              <a:spcPts val="0"/>
            </a:spcBef>
            <a:spcAft>
              <a:spcPts val="0"/>
            </a:spcAft>
            <a:buClrTx/>
            <a:buSzTx/>
            <a:buFontTx/>
            <a:buNone/>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TZATZIKI 260g</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1 large cucumber</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1 ½ cups Labné </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2 tablespoons extra-virgin olive oil</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2 tablespoons chopped fresh mint </a:t>
          </a:r>
          <a:r>
            <a:rPr b="1" baseline="0" cap="none" i="0" spc="0" strike="noStrike" sz="1200" u="sng">
              <a:ln>
                <a:noFill/>
              </a:ln>
              <a:solidFill>
                <a:srgbClr val="444444"/>
              </a:solidFill>
              <a:uFillTx/>
              <a:latin typeface="Georgia"/>
              <a:ea typeface="Georgia"/>
              <a:cs typeface="Georgia"/>
              <a:sym typeface="Georgia"/>
            </a:rPr>
            <a:t>a</a:t>
          </a:r>
          <a:r>
            <a:rPr b="1" baseline="0" cap="none" i="1" spc="0" strike="noStrike" sz="1200" u="sng">
              <a:ln>
                <a:noFill/>
              </a:ln>
              <a:solidFill>
                <a:srgbClr val="444444"/>
              </a:solidFill>
              <a:uFillTx/>
              <a:latin typeface="Georgia"/>
              <a:ea typeface="Georgia"/>
              <a:cs typeface="Georgia"/>
              <a:sym typeface="Georgia"/>
            </a:rPr>
            <a:t>nd/or</a:t>
          </a:r>
          <a:r>
            <a:rPr b="1" baseline="0" cap="none" i="0" spc="0" strike="noStrike" sz="1200" u="none">
              <a:ln>
                <a:noFill/>
              </a:ln>
              <a:solidFill>
                <a:srgbClr val="444444"/>
              </a:solidFill>
              <a:uFillTx/>
              <a:latin typeface="Georgia"/>
              <a:ea typeface="Georgia"/>
              <a:cs typeface="Georgia"/>
              <a:sym typeface="Georgia"/>
            </a:rPr>
            <a:t> dill</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1 tablespoon lemon juice</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2 medium cloves garlic</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½ teaspoon fine sea salt</a:t>
          </a:r>
        </a:p>
      </xdr:txBody>
    </xdr:sp>
    <xdr:clientData/>
  </xdr:twoCellAnchor>
</xdr:wsDr>
</file>

<file path=xl/drawings/drawing1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4</xdr:col>
      <xdr:colOff>523208</xdr:colOff>
      <xdr:row>34</xdr:row>
      <xdr:rowOff>111760</xdr:rowOff>
    </xdr:to>
    <xdr:sp>
      <xdr:nvSpPr>
        <xdr:cNvPr id="48" name="Shape 48"/>
        <xdr:cNvSpPr txBox="1"/>
      </xdr:nvSpPr>
      <xdr:spPr>
        <a:xfrm>
          <a:off x="-19050" y="-309880"/>
          <a:ext cx="3063209" cy="572516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Vegan Tartelettes</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latinLnBrk="0">
            <a:lnSpc>
              <a:spcPct val="100000"/>
            </a:lnSpc>
            <a:spcBef>
              <a:spcPts val="0"/>
            </a:spcBef>
            <a:spcAft>
              <a:spcPts val="0"/>
            </a:spcAft>
            <a:buClrTx/>
            <a:buSzTx/>
            <a:buFontTx/>
            <a:buNone/>
            <a:tabLst/>
            <a:defRPr b="1" baseline="0" cap="none" i="0" spc="19" strike="noStrike" sz="1900" u="none">
              <a:ln>
                <a:noFill/>
              </a:ln>
              <a:solidFill>
                <a:srgbClr val="000000"/>
              </a:solidFill>
              <a:uFillTx/>
              <a:latin typeface="+mn-lt"/>
              <a:ea typeface="+mn-ea"/>
              <a:cs typeface="+mn-cs"/>
              <a:sym typeface="Baskerville"/>
            </a:defRPr>
          </a:pPr>
          <a:r>
            <a:rPr b="1" baseline="0" cap="none" i="0" spc="19" strike="noStrike" sz="1900" u="none">
              <a:ln>
                <a:noFill/>
              </a:ln>
              <a:solidFill>
                <a:srgbClr val="000000"/>
              </a:solidFill>
              <a:uFillTx/>
              <a:latin typeface="+mn-lt"/>
              <a:ea typeface="+mn-ea"/>
              <a:cs typeface="+mn-cs"/>
              <a:sym typeface="Baskerville"/>
            </a:rPr>
            <a:t>Hommos Tartelette</a:t>
          </a:r>
          <a:endParaRPr b="1" baseline="0" cap="none" i="0" spc="19" strike="noStrike" sz="1900" u="none">
            <a:ln>
              <a:noFill/>
            </a:ln>
            <a:solidFill>
              <a:srgbClr val="000000"/>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49" name="Shape 49"/>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twoCellAnchor>
    <xdr:from>
      <xdr:col>0</xdr:col>
      <xdr:colOff>0</xdr:colOff>
      <xdr:row>22</xdr:row>
      <xdr:rowOff>139382</xdr:rowOff>
    </xdr:from>
    <xdr:to>
      <xdr:col>6</xdr:col>
      <xdr:colOff>227781</xdr:colOff>
      <xdr:row>30</xdr:row>
      <xdr:rowOff>162242</xdr:rowOff>
    </xdr:to>
    <xdr:sp>
      <xdr:nvSpPr>
        <xdr:cNvPr id="50" name="Shape 50"/>
        <xdr:cNvSpPr txBox="1"/>
      </xdr:nvSpPr>
      <xdr:spPr>
        <a:xfrm>
          <a:off x="-19050" y="3771582"/>
          <a:ext cx="4037782" cy="134366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rtl="0" latinLnBrk="0">
            <a:lnSpc>
              <a:spcPct val="100000"/>
            </a:lnSpc>
            <a:spcBef>
              <a:spcPts val="0"/>
            </a:spcBef>
            <a:spcAft>
              <a:spcPts val="0"/>
            </a:spcAft>
            <a:buClrTx/>
            <a:buSzTx/>
            <a:buFontTx/>
            <a:buNone/>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Hommos 350 G</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250 g Chickpeas</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4 Tbsp Tahini</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1 tsp garlic</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2 tbsp lemon juice</a:t>
          </a:r>
          <a:endParaRPr b="1" baseline="0" cap="none" i="0" spc="0" strike="noStrike" sz="1200" u="none">
            <a:ln>
              <a:noFill/>
            </a:ln>
            <a:solidFill>
              <a:srgbClr val="444444"/>
            </a:solidFill>
            <a:uFillTx/>
            <a:latin typeface="Georgia"/>
            <a:ea typeface="Georgia"/>
            <a:cs typeface="Georgia"/>
            <a:sym typeface="Georgia"/>
          </a:endParaRPr>
        </a:p>
      </xdr:txBody>
    </xdr:sp>
    <xdr:clientData/>
  </xdr:twoCellAnchor>
  <xdr:twoCellAnchor>
    <xdr:from>
      <xdr:col>6</xdr:col>
      <xdr:colOff>399157</xdr:colOff>
      <xdr:row>22</xdr:row>
      <xdr:rowOff>99377</xdr:rowOff>
    </xdr:from>
    <xdr:to>
      <xdr:col>12</xdr:col>
      <xdr:colOff>626938</xdr:colOff>
      <xdr:row>34</xdr:row>
      <xdr:rowOff>75247</xdr:rowOff>
    </xdr:to>
    <xdr:sp>
      <xdr:nvSpPr>
        <xdr:cNvPr id="51" name="Shape 51"/>
        <xdr:cNvSpPr txBox="1"/>
      </xdr:nvSpPr>
      <xdr:spPr>
        <a:xfrm>
          <a:off x="4209157" y="3731577"/>
          <a:ext cx="4037782" cy="195707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rtl="0" latinLnBrk="0">
            <a:lnSpc>
              <a:spcPct val="100000"/>
            </a:lnSpc>
            <a:spcBef>
              <a:spcPts val="0"/>
            </a:spcBef>
            <a:spcAft>
              <a:spcPts val="0"/>
            </a:spcAft>
            <a:buClrTx/>
            <a:buSzTx/>
            <a:buFontTx/>
            <a:buNone/>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Tahini Sauce</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5 Tbsp Tahini</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4 Tbsp lemon juice</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3 water</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Salt 1/2 tsp</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Paprika 1 tsp</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Red pepper 1/2 tsp</a:t>
          </a:r>
          <a:endParaRPr b="1" baseline="0" cap="none" i="0" spc="0" strike="noStrike" sz="1200" u="none">
            <a:ln>
              <a:noFill/>
            </a:ln>
            <a:solidFill>
              <a:srgbClr val="444444"/>
            </a:solidFill>
            <a:uFillTx/>
            <a:latin typeface="Georgia"/>
            <a:ea typeface="Georgia"/>
            <a:cs typeface="Georgia"/>
            <a:sym typeface="Georgia"/>
          </a:endParaRPr>
        </a:p>
        <a:p>
          <a:pPr marL="0" marR="0" indent="0" algn="l" defTabSz="457200" rtl="0" latinLnBrk="0">
            <a:lnSpc>
              <a:spcPct val="100000"/>
            </a:lnSpc>
            <a:spcBef>
              <a:spcPts val="0"/>
            </a:spcBef>
            <a:spcAft>
              <a:spcPts val="0"/>
            </a:spcAft>
            <a:buClrTx/>
            <a:buSzTx/>
            <a:buFontTx/>
            <a:buNone/>
            <a:tabLst/>
            <a:defRPr b="1" baseline="0" cap="none" i="0" spc="0" strike="noStrike" sz="1200" u="none">
              <a:ln>
                <a:noFill/>
              </a:ln>
              <a:solidFill>
                <a:srgbClr val="444444"/>
              </a:solidFill>
              <a:uFillTx/>
              <a:latin typeface="Georgia"/>
              <a:ea typeface="Georgia"/>
              <a:cs typeface="Georgia"/>
              <a:sym typeface="Georgia"/>
            </a:defRPr>
          </a:pPr>
          <a:endParaRPr b="1" baseline="0" cap="none" i="0" spc="0" strike="noStrike" sz="1200" u="none">
            <a:ln>
              <a:noFill/>
            </a:ln>
            <a:solidFill>
              <a:srgbClr val="444444"/>
            </a:solidFill>
            <a:uFillTx/>
            <a:latin typeface="Georgia"/>
            <a:ea typeface="Georgia"/>
            <a:cs typeface="Georgia"/>
            <a:sym typeface="Georgia"/>
          </a:endParaRPr>
        </a:p>
      </xdr:txBody>
    </xdr:sp>
    <xdr:clientData/>
  </xdr:twoCellAnchor>
  <xdr:twoCellAnchor>
    <xdr:from>
      <xdr:col>6</xdr:col>
      <xdr:colOff>493998</xdr:colOff>
      <xdr:row>5</xdr:row>
      <xdr:rowOff>73025</xdr:rowOff>
    </xdr:from>
    <xdr:to>
      <xdr:col>10</xdr:col>
      <xdr:colOff>58614</xdr:colOff>
      <xdr:row>8</xdr:row>
      <xdr:rowOff>15875</xdr:rowOff>
    </xdr:to>
    <xdr:sp>
      <xdr:nvSpPr>
        <xdr:cNvPr id="52" name="Shape 52"/>
        <xdr:cNvSpPr txBox="1"/>
      </xdr:nvSpPr>
      <xdr:spPr>
        <a:xfrm>
          <a:off x="4303998" y="898524"/>
          <a:ext cx="2104617" cy="43815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latinLnBrk="0">
            <a:lnSpc>
              <a:spcPct val="100000"/>
            </a:lnSpc>
            <a:spcBef>
              <a:spcPts val="0"/>
            </a:spcBef>
            <a:spcAft>
              <a:spcPts val="0"/>
            </a:spcAft>
            <a:buClrTx/>
            <a:buSzTx/>
            <a:buFontTx/>
            <a:buNone/>
            <a:tabLst/>
            <a:defRPr b="1" baseline="0" cap="none" i="0" spc="19" strike="noStrike" sz="1900" u="none">
              <a:ln>
                <a:noFill/>
              </a:ln>
              <a:solidFill>
                <a:srgbClr val="000000"/>
              </a:solidFill>
              <a:uFillTx/>
              <a:latin typeface="+mn-lt"/>
              <a:ea typeface="+mn-ea"/>
              <a:cs typeface="+mn-cs"/>
              <a:sym typeface="Baskerville"/>
            </a:defRPr>
          </a:pPr>
          <a:r>
            <a:rPr b="1" baseline="0" cap="none" i="0" spc="19" strike="noStrike" sz="1900" u="none">
              <a:ln>
                <a:noFill/>
              </a:ln>
              <a:solidFill>
                <a:srgbClr val="000000"/>
              </a:solidFill>
              <a:uFillTx/>
              <a:latin typeface="+mn-lt"/>
              <a:ea typeface="+mn-ea"/>
              <a:cs typeface="+mn-cs"/>
              <a:sym typeface="Baskerville"/>
            </a:rPr>
            <a:t>Tahini Tartelette</a:t>
          </a:r>
        </a:p>
      </xdr:txBody>
    </xdr:sp>
    <xdr:clientData/>
  </xdr:twoCellAnchor>
</xdr:wsDr>
</file>

<file path=xl/drawings/drawing1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9</xdr:col>
      <xdr:colOff>525033</xdr:colOff>
      <xdr:row>39</xdr:row>
      <xdr:rowOff>45720</xdr:rowOff>
    </xdr:to>
    <xdr:sp>
      <xdr:nvSpPr>
        <xdr:cNvPr id="54" name="Shape 54"/>
        <xdr:cNvSpPr txBox="1"/>
      </xdr:nvSpPr>
      <xdr:spPr>
        <a:xfrm>
          <a:off x="-19050" y="-422910"/>
          <a:ext cx="6240034" cy="648462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Other Main Menu outsourced Items</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55" name="Shape 55"/>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twoCellAnchor>
    <xdr:from>
      <xdr:col>0</xdr:col>
      <xdr:colOff>0</xdr:colOff>
      <xdr:row>3</xdr:row>
      <xdr:rowOff>123824</xdr:rowOff>
    </xdr:from>
    <xdr:to>
      <xdr:col>6</xdr:col>
      <xdr:colOff>227781</xdr:colOff>
      <xdr:row>16</xdr:row>
      <xdr:rowOff>139064</xdr:rowOff>
    </xdr:to>
    <xdr:sp>
      <xdr:nvSpPr>
        <xdr:cNvPr id="56" name="Shape 56"/>
        <xdr:cNvSpPr txBox="1"/>
      </xdr:nvSpPr>
      <xdr:spPr>
        <a:xfrm>
          <a:off x="-19051" y="619124"/>
          <a:ext cx="4037783" cy="216154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rtl="0" latinLnBrk="0">
            <a:lnSpc>
              <a:spcPct val="100000"/>
            </a:lnSpc>
            <a:spcBef>
              <a:spcPts val="0"/>
            </a:spcBef>
            <a:spcAft>
              <a:spcPts val="0"/>
            </a:spcAft>
            <a:buClrTx/>
            <a:buSzTx/>
            <a:buFontTx/>
            <a:buNone/>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Please note that the following items will be prepared in our kitchen in Ehden &amp; direct cost is per final unit.</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Kebbé Zghwertewiyé with Fat ( 2 sizes)</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Kebbé Zghweretwiyé with Meat ( 2 sizes)</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E’rass La’tine (1 size)</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E’rass Kebbé Hazineh (1 size)</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Kabkoubé minced meat (small size)</a:t>
          </a:r>
          <a:endParaRPr b="1" baseline="0" cap="none" i="0" spc="0" strike="noStrike" sz="1200" u="none">
            <a:ln>
              <a:noFill/>
            </a:ln>
            <a:solidFill>
              <a:srgbClr val="444444"/>
            </a:solidFill>
            <a:uFillTx/>
            <a:latin typeface="Georgia"/>
            <a:ea typeface="Georgia"/>
            <a:cs typeface="Georgia"/>
            <a:sym typeface="Georgia"/>
          </a:endParaRPr>
        </a:p>
        <a:p>
          <a:pPr marL="0" marR="0" indent="0" algn="l" defTabSz="457200" rtl="0" latinLnBrk="0">
            <a:lnSpc>
              <a:spcPct val="100000"/>
            </a:lnSpc>
            <a:spcBef>
              <a:spcPts val="0"/>
            </a:spcBef>
            <a:spcAft>
              <a:spcPts val="0"/>
            </a:spcAft>
            <a:buClrTx/>
            <a:buSzTx/>
            <a:buFontTx/>
            <a:buNone/>
            <a:tabLst/>
            <a:defRPr b="1" baseline="0" cap="none" i="0" spc="0" strike="noStrike" sz="1200" u="none">
              <a:ln>
                <a:noFill/>
              </a:ln>
              <a:solidFill>
                <a:srgbClr val="444444"/>
              </a:solidFill>
              <a:uFillTx/>
              <a:latin typeface="Georgia"/>
              <a:ea typeface="Georgia"/>
              <a:cs typeface="Georgia"/>
              <a:sym typeface="Georgia"/>
            </a:defRPr>
          </a:pPr>
          <a:endParaRPr b="1" baseline="0" cap="none" i="0" spc="0" strike="noStrike" sz="1200" u="none">
            <a:ln>
              <a:noFill/>
            </a:ln>
            <a:solidFill>
              <a:srgbClr val="444444"/>
            </a:solidFill>
            <a:uFillTx/>
            <a:latin typeface="Georgia"/>
            <a:ea typeface="Georgia"/>
            <a:cs typeface="Georgia"/>
            <a:sym typeface="Georgia"/>
          </a:endParaRPr>
        </a:p>
      </xdr:txBody>
    </xdr:sp>
    <xdr:clientData/>
  </xdr:twoCellAnchor>
</xdr:wsDr>
</file>

<file path=xl/theme/theme1.xml><?xml version="1.0" encoding="utf-8"?>
<a:theme xmlns:a="http://schemas.openxmlformats.org/drawingml/2006/main" xmlns:r="http://schemas.openxmlformats.org/officeDocument/2006/relationships" name="04_Recipe">
  <a:themeElements>
    <a:clrScheme name="04_Recipe">
      <a:dk1>
        <a:srgbClr val="000000"/>
      </a:dk1>
      <a:lt1>
        <a:srgbClr val="FFFFFF"/>
      </a:lt1>
      <a:dk2>
        <a:srgbClr val="444444"/>
      </a:dk2>
      <a:lt2>
        <a:srgbClr val="AAAAAA"/>
      </a:lt2>
      <a:accent1>
        <a:srgbClr val="A6BACF"/>
      </a:accent1>
      <a:accent2>
        <a:srgbClr val="98A68D"/>
      </a:accent2>
      <a:accent3>
        <a:srgbClr val="E2C07E"/>
      </a:accent3>
      <a:accent4>
        <a:srgbClr val="EA8B60"/>
      </a:accent4>
      <a:accent5>
        <a:srgbClr val="B93E40"/>
      </a:accent5>
      <a:accent6>
        <a:srgbClr val="807898"/>
      </a:accent6>
      <a:hlink>
        <a:srgbClr val="0000FF"/>
      </a:hlink>
      <a:folHlink>
        <a:srgbClr val="FF00FF"/>
      </a:folHlink>
    </a:clrScheme>
    <a:fontScheme name="04_Recipe">
      <a:majorFont>
        <a:latin typeface="Baskerville"/>
        <a:ea typeface="Baskerville"/>
        <a:cs typeface="Baskerville"/>
      </a:majorFont>
      <a:minorFont>
        <a:latin typeface="Baskerville"/>
        <a:ea typeface="Baskerville"/>
        <a:cs typeface="Baskerville"/>
      </a:minorFont>
    </a:fontScheme>
    <a:fmtScheme name="04_Recip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2">
            <a:hueOff val="304431"/>
            <a:satOff val="14136"/>
            <a:lumOff val="-27777"/>
          </a:schemeClr>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800" u="none" kumimoji="0" normalizeH="0">
            <a:ln>
              <a:noFill/>
            </a:ln>
            <a:solidFill>
              <a:srgbClr val="FFFFFF"/>
            </a:solidFill>
            <a:effectLst/>
            <a:uFillTx/>
            <a:latin typeface="+mn-lt"/>
            <a:ea typeface="+mn-ea"/>
            <a:cs typeface="+mn-cs"/>
            <a:sym typeface="Baskervill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6350" cap="flat">
          <a:solidFill>
            <a:srgbClr val="AAAAAA"/>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20000"/>
          </a:lnSpc>
          <a:spcBef>
            <a:spcPts val="400"/>
          </a:spcBef>
          <a:spcAft>
            <a:spcPts val="0"/>
          </a:spcAft>
          <a:buClrTx/>
          <a:buSzTx/>
          <a:buFontTx/>
          <a:buNone/>
          <a:tabLst/>
          <a:defRPr b="0" baseline="0" cap="none" i="0" spc="0" strike="noStrike" sz="1200" u="none" kumimoji="0" normalizeH="0">
            <a:ln>
              <a:noFill/>
            </a:ln>
            <a:solidFill>
              <a:srgbClr val="444444"/>
            </a:solidFill>
            <a:effectLst/>
            <a:uFillTx/>
            <a:latin typeface="+mn-lt"/>
            <a:ea typeface="+mn-ea"/>
            <a:cs typeface="+mn-cs"/>
            <a:sym typeface="Baskervill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s>

</file>

<file path=xl/worksheets/_rels/sheet7.xml.rels><?xml version="1.0" encoding="UTF-8"?>
<Relationships xmlns="http://schemas.openxmlformats.org/package/2006/relationships"><Relationship Id="rId1" Type="http://schemas.openxmlformats.org/officeDocument/2006/relationships/drawing" Target="../drawings/drawing2.xml"/></Relationships>

</file>

<file path=xl/worksheets/_rels/sheet10.xml.rels><?xml version="1.0" encoding="UTF-8"?>
<Relationships xmlns="http://schemas.openxmlformats.org/package/2006/relationships"><Relationship Id="rId1" Type="http://schemas.openxmlformats.org/officeDocument/2006/relationships/drawing" Target="../drawings/drawing3.xml"/></Relationships>

</file>

<file path=xl/worksheets/_rels/sheet13.xml.rels><?xml version="1.0" encoding="UTF-8"?>
<Relationships xmlns="http://schemas.openxmlformats.org/package/2006/relationships"><Relationship Id="rId1" Type="http://schemas.openxmlformats.org/officeDocument/2006/relationships/drawing" Target="../drawings/drawing4.xml"/></Relationships>

</file>

<file path=xl/worksheets/_rels/sheet16.xml.rels><?xml version="1.0" encoding="UTF-8"?>
<Relationships xmlns="http://schemas.openxmlformats.org/package/2006/relationships"><Relationship Id="rId1" Type="http://schemas.openxmlformats.org/officeDocument/2006/relationships/drawing" Target="../drawings/drawing5.xml"/></Relationships>

</file>

<file path=xl/worksheets/_rels/sheet19.xml.rels><?xml version="1.0" encoding="UTF-8"?>
<Relationships xmlns="http://schemas.openxmlformats.org/package/2006/relationships"><Relationship Id="rId1" Type="http://schemas.openxmlformats.org/officeDocument/2006/relationships/drawing" Target="../drawings/drawing6.xml"/></Relationships>

</file>

<file path=xl/worksheets/_rels/sheet22.xml.rels><?xml version="1.0" encoding="UTF-8"?>
<Relationships xmlns="http://schemas.openxmlformats.org/package/2006/relationships"><Relationship Id="rId1" Type="http://schemas.openxmlformats.org/officeDocument/2006/relationships/drawing" Target="../drawings/drawing7.xml"/></Relationships>

</file>

<file path=xl/worksheets/_rels/sheet25.xml.rels><?xml version="1.0" encoding="UTF-8"?>
<Relationships xmlns="http://schemas.openxmlformats.org/package/2006/relationships"><Relationship Id="rId1" Type="http://schemas.openxmlformats.org/officeDocument/2006/relationships/drawing" Target="../drawings/drawing8.xml"/></Relationships>

</file>

<file path=xl/worksheets/_rels/sheet28.xml.rels><?xml version="1.0" encoding="UTF-8"?>
<Relationships xmlns="http://schemas.openxmlformats.org/package/2006/relationships"><Relationship Id="rId1" Type="http://schemas.openxmlformats.org/officeDocument/2006/relationships/drawing" Target="../drawings/drawing9.xml"/></Relationships>

</file>

<file path=xl/worksheets/_rels/sheet31.xml.rels><?xml version="1.0" encoding="UTF-8"?>
<Relationships xmlns="http://schemas.openxmlformats.org/package/2006/relationships"><Relationship Id="rId1" Type="http://schemas.openxmlformats.org/officeDocument/2006/relationships/drawing" Target="../drawings/drawing10.xml"/></Relationships>

</file>

<file path=xl/worksheets/_rels/sheet34.xml.rels><?xml version="1.0" encoding="UTF-8"?>
<Relationships xmlns="http://schemas.openxmlformats.org/package/2006/relationships"><Relationship Id="rId1" Type="http://schemas.openxmlformats.org/officeDocument/2006/relationships/drawing" Target="../drawings/drawing11.xml"/></Relationships>

</file>

<file path=xl/worksheets/_rels/sheet37.xml.rels><?xml version="1.0" encoding="UTF-8"?>
<Relationships xmlns="http://schemas.openxmlformats.org/package/2006/relationships"><Relationship Id="rId1" Type="http://schemas.openxmlformats.org/officeDocument/2006/relationships/drawing" Target="../drawings/drawing12.xml"/></Relationships>

</file>

<file path=xl/worksheets/_rels/sheet40.xml.rels><?xml version="1.0" encoding="UTF-8"?>
<Relationships xmlns="http://schemas.openxmlformats.org/package/2006/relationships"><Relationship Id="rId1" Type="http://schemas.openxmlformats.org/officeDocument/2006/relationships/drawing" Target="../drawings/drawing13.xml"/></Relationships>

</file>

<file path=xl/worksheets/_rels/sheet43.xml.rels><?xml version="1.0" encoding="UTF-8"?>
<Relationships xmlns="http://schemas.openxmlformats.org/package/2006/relationships"><Relationship Id="rId1" Type="http://schemas.openxmlformats.org/officeDocument/2006/relationships/drawing" Target="../drawings/drawing14.xml"/></Relationships>

</file>

<file path=xl/worksheets/_rels/sheet46.xml.rels><?xml version="1.0" encoding="UTF-8"?>
<Relationships xmlns="http://schemas.openxmlformats.org/package/2006/relationships"><Relationship Id="rId1" Type="http://schemas.openxmlformats.org/officeDocument/2006/relationships/drawing" Target="../drawings/drawing15.xml"/></Relationships>

</file>

<file path=xl/worksheets/_rels/sheet49.xml.rels><?xml version="1.0" encoding="UTF-8"?>
<Relationships xmlns="http://schemas.openxmlformats.org/package/2006/relationships"><Relationship Id="rId1" Type="http://schemas.openxmlformats.org/officeDocument/2006/relationships/drawing" Target="../drawings/drawing16.xml"/></Relationships>

</file>

<file path=xl/worksheets/_rels/sheet50.xml.rels><?xml version="1.0" encoding="UTF-8"?>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s="4"/>
      <c r="C11" t="s" s="4">
        <v>19</v>
      </c>
      <c r="D11" t="s" s="5">
        <v>20</v>
      </c>
    </row>
    <row r="12">
      <c r="B12" s="4"/>
      <c r="C12" t="s" s="4">
        <v>22</v>
      </c>
      <c r="D12" t="s" s="5">
        <v>23</v>
      </c>
    </row>
    <row r="13">
      <c r="B13" t="s" s="3">
        <v>24</v>
      </c>
      <c r="C13" s="3"/>
      <c r="D13" s="3"/>
    </row>
    <row r="14">
      <c r="B14" s="4"/>
      <c r="C14" t="s" s="4">
        <v>19</v>
      </c>
      <c r="D14" t="s" s="5">
        <v>25</v>
      </c>
    </row>
    <row r="15">
      <c r="B15" s="4"/>
      <c r="C15" t="s" s="4">
        <v>5</v>
      </c>
      <c r="D15" t="s" s="5">
        <v>27</v>
      </c>
    </row>
    <row r="16">
      <c r="B16" s="4"/>
      <c r="C16" t="s" s="4">
        <v>22</v>
      </c>
      <c r="D16" t="s" s="5">
        <v>34</v>
      </c>
    </row>
    <row r="17">
      <c r="B17" t="s" s="3">
        <v>35</v>
      </c>
      <c r="C17" s="3"/>
      <c r="D17" s="3"/>
    </row>
    <row r="18">
      <c r="B18" s="4"/>
      <c r="C18" t="s" s="4">
        <v>19</v>
      </c>
      <c r="D18" t="s" s="5">
        <v>36</v>
      </c>
    </row>
    <row r="19">
      <c r="B19" s="4"/>
      <c r="C19" t="s" s="4">
        <v>5</v>
      </c>
      <c r="D19" t="s" s="5">
        <v>37</v>
      </c>
    </row>
    <row r="20">
      <c r="B20" s="4"/>
      <c r="C20" t="s" s="4">
        <v>22</v>
      </c>
      <c r="D20" t="s" s="5">
        <v>43</v>
      </c>
    </row>
    <row r="21">
      <c r="B21" t="s" s="3">
        <v>44</v>
      </c>
      <c r="C21" s="3"/>
      <c r="D21" s="3"/>
    </row>
    <row r="22">
      <c r="B22" s="4"/>
      <c r="C22" t="s" s="4">
        <v>19</v>
      </c>
      <c r="D22" t="s" s="5">
        <v>45</v>
      </c>
    </row>
    <row r="23">
      <c r="B23" s="4"/>
      <c r="C23" t="s" s="4">
        <v>5</v>
      </c>
      <c r="D23" t="s" s="5">
        <v>46</v>
      </c>
    </row>
    <row r="24">
      <c r="B24" s="4"/>
      <c r="C24" t="s" s="4">
        <v>22</v>
      </c>
      <c r="D24" t="s" s="5">
        <v>48</v>
      </c>
    </row>
    <row r="25">
      <c r="B25" t="s" s="3">
        <v>49</v>
      </c>
      <c r="C25" s="3"/>
      <c r="D25" s="3"/>
    </row>
    <row r="26">
      <c r="B26" s="4"/>
      <c r="C26" t="s" s="4">
        <v>19</v>
      </c>
      <c r="D26" t="s" s="5">
        <v>50</v>
      </c>
    </row>
    <row r="27">
      <c r="B27" s="4"/>
      <c r="C27" t="s" s="4">
        <v>5</v>
      </c>
      <c r="D27" t="s" s="5">
        <v>51</v>
      </c>
    </row>
    <row r="28">
      <c r="B28" s="4"/>
      <c r="C28" t="s" s="4">
        <v>22</v>
      </c>
      <c r="D28" t="s" s="5">
        <v>54</v>
      </c>
    </row>
    <row r="29">
      <c r="B29" t="s" s="3">
        <v>55</v>
      </c>
      <c r="C29" s="3"/>
      <c r="D29" s="3"/>
    </row>
    <row r="30">
      <c r="B30" s="4"/>
      <c r="C30" t="s" s="4">
        <v>19</v>
      </c>
      <c r="D30" t="s" s="5">
        <v>56</v>
      </c>
    </row>
    <row r="31">
      <c r="B31" s="4"/>
      <c r="C31" t="s" s="4">
        <v>5</v>
      </c>
      <c r="D31" t="s" s="5">
        <v>57</v>
      </c>
    </row>
    <row r="32">
      <c r="B32" s="4"/>
      <c r="C32" t="s" s="4">
        <v>22</v>
      </c>
      <c r="D32" t="s" s="5">
        <v>63</v>
      </c>
    </row>
    <row r="33">
      <c r="B33" t="s" s="3">
        <v>64</v>
      </c>
      <c r="C33" s="3"/>
      <c r="D33" s="3"/>
    </row>
    <row r="34">
      <c r="B34" s="4"/>
      <c r="C34" t="s" s="4">
        <v>19</v>
      </c>
      <c r="D34" t="s" s="5">
        <v>65</v>
      </c>
    </row>
    <row r="35">
      <c r="B35" s="4"/>
      <c r="C35" t="s" s="4">
        <v>5</v>
      </c>
      <c r="D35" t="s" s="5">
        <v>66</v>
      </c>
    </row>
    <row r="36">
      <c r="B36" s="4"/>
      <c r="C36" t="s" s="4">
        <v>22</v>
      </c>
      <c r="D36" t="s" s="5">
        <v>69</v>
      </c>
    </row>
    <row r="37">
      <c r="B37" t="s" s="3">
        <v>70</v>
      </c>
      <c r="C37" s="3"/>
      <c r="D37" s="3"/>
    </row>
    <row r="38">
      <c r="B38" s="4"/>
      <c r="C38" t="s" s="4">
        <v>19</v>
      </c>
      <c r="D38" t="s" s="5">
        <v>71</v>
      </c>
    </row>
    <row r="39">
      <c r="B39" s="4"/>
      <c r="C39" t="s" s="4">
        <v>5</v>
      </c>
      <c r="D39" t="s" s="5">
        <v>72</v>
      </c>
    </row>
    <row r="40">
      <c r="B40" s="4"/>
      <c r="C40" t="s" s="4">
        <v>22</v>
      </c>
      <c r="D40" t="s" s="5">
        <v>78</v>
      </c>
    </row>
    <row r="41">
      <c r="B41" t="s" s="3">
        <v>79</v>
      </c>
      <c r="C41" s="3"/>
      <c r="D41" s="3"/>
    </row>
    <row r="42">
      <c r="B42" s="4"/>
      <c r="C42" t="s" s="4">
        <v>19</v>
      </c>
      <c r="D42" t="s" s="5">
        <v>80</v>
      </c>
    </row>
    <row r="43">
      <c r="B43" s="4"/>
      <c r="C43" t="s" s="4">
        <v>5</v>
      </c>
      <c r="D43" t="s" s="5">
        <v>81</v>
      </c>
    </row>
    <row r="44">
      <c r="B44" s="4"/>
      <c r="C44" t="s" s="4">
        <v>22</v>
      </c>
      <c r="D44" t="s" s="5">
        <v>85</v>
      </c>
    </row>
    <row r="45">
      <c r="B45" t="s" s="3">
        <v>86</v>
      </c>
      <c r="C45" s="3"/>
      <c r="D45" s="3"/>
    </row>
    <row r="46">
      <c r="B46" s="4"/>
      <c r="C46" t="s" s="4">
        <v>19</v>
      </c>
      <c r="D46" t="s" s="5">
        <v>87</v>
      </c>
    </row>
    <row r="47">
      <c r="B47" s="4"/>
      <c r="C47" t="s" s="4">
        <v>5</v>
      </c>
      <c r="D47" t="s" s="5">
        <v>88</v>
      </c>
    </row>
    <row r="48">
      <c r="B48" s="4"/>
      <c r="C48" t="s" s="4">
        <v>22</v>
      </c>
      <c r="D48" t="s" s="5">
        <v>92</v>
      </c>
    </row>
    <row r="49">
      <c r="B49" t="s" s="3">
        <v>93</v>
      </c>
      <c r="C49" s="3"/>
      <c r="D49" s="3"/>
    </row>
    <row r="50">
      <c r="B50" s="4"/>
      <c r="C50" t="s" s="4">
        <v>19</v>
      </c>
      <c r="D50" t="s" s="5">
        <v>94</v>
      </c>
    </row>
    <row r="51">
      <c r="B51" s="4"/>
      <c r="C51" t="s" s="4">
        <v>5</v>
      </c>
      <c r="D51" t="s" s="5">
        <v>95</v>
      </c>
    </row>
    <row r="52">
      <c r="B52" s="4"/>
      <c r="C52" t="s" s="4">
        <v>22</v>
      </c>
      <c r="D52" t="s" s="5">
        <v>98</v>
      </c>
    </row>
    <row r="53">
      <c r="B53" t="s" s="3">
        <v>99</v>
      </c>
      <c r="C53" s="3"/>
      <c r="D53" s="3"/>
    </row>
    <row r="54">
      <c r="B54" s="4"/>
      <c r="C54" t="s" s="4">
        <v>19</v>
      </c>
      <c r="D54" t="s" s="5">
        <v>100</v>
      </c>
    </row>
    <row r="55">
      <c r="B55" s="4"/>
      <c r="C55" t="s" s="4">
        <v>5</v>
      </c>
      <c r="D55" t="s" s="5">
        <v>101</v>
      </c>
    </row>
    <row r="56">
      <c r="B56" s="4"/>
      <c r="C56" t="s" s="4">
        <v>22</v>
      </c>
      <c r="D56" t="s" s="5">
        <v>104</v>
      </c>
    </row>
    <row r="57">
      <c r="B57" t="s" s="3">
        <v>105</v>
      </c>
      <c r="C57" s="3"/>
      <c r="D57" s="3"/>
    </row>
    <row r="58">
      <c r="B58" s="4"/>
      <c r="C58" t="s" s="4">
        <v>19</v>
      </c>
      <c r="D58" t="s" s="5">
        <v>106</v>
      </c>
    </row>
    <row r="59">
      <c r="B59" s="4"/>
      <c r="C59" t="s" s="4">
        <v>5</v>
      </c>
      <c r="D59" t="s" s="5">
        <v>107</v>
      </c>
    </row>
    <row r="60">
      <c r="B60" s="4"/>
      <c r="C60" t="s" s="4">
        <v>22</v>
      </c>
      <c r="D60" t="s" s="5">
        <v>110</v>
      </c>
    </row>
    <row r="61">
      <c r="B61" t="s" s="3">
        <v>111</v>
      </c>
      <c r="C61" s="3"/>
      <c r="D61" s="3"/>
    </row>
    <row r="62">
      <c r="B62" s="4"/>
      <c r="C62" t="s" s="4">
        <v>19</v>
      </c>
      <c r="D62" t="s" s="5">
        <v>112</v>
      </c>
    </row>
    <row r="63">
      <c r="B63" s="4"/>
      <c r="C63" t="s" s="4">
        <v>5</v>
      </c>
      <c r="D63" t="s" s="5">
        <v>113</v>
      </c>
    </row>
    <row r="64">
      <c r="B64" s="4"/>
      <c r="C64" t="s" s="4">
        <v>22</v>
      </c>
      <c r="D64" t="s" s="5">
        <v>118</v>
      </c>
    </row>
    <row r="65">
      <c r="B65" t="s" s="3">
        <v>119</v>
      </c>
      <c r="C65" s="3"/>
      <c r="D65" s="3"/>
    </row>
    <row r="66">
      <c r="B66" s="4"/>
      <c r="C66" t="s" s="4">
        <v>19</v>
      </c>
      <c r="D66" t="s" s="5">
        <v>120</v>
      </c>
    </row>
    <row r="67">
      <c r="B67" s="4"/>
      <c r="C67" t="s" s="4">
        <v>5</v>
      </c>
      <c r="D67" t="s" s="5">
        <v>121</v>
      </c>
    </row>
    <row r="68">
      <c r="B68" s="4"/>
      <c r="C68" t="s" s="4">
        <v>22</v>
      </c>
      <c r="D68" t="s" s="5">
        <v>123</v>
      </c>
    </row>
    <row r="69">
      <c r="B69" t="s" s="3">
        <v>124</v>
      </c>
      <c r="C69" s="3"/>
      <c r="D69" s="3"/>
    </row>
    <row r="70">
      <c r="B70" s="4"/>
      <c r="C70" t="s" s="4">
        <v>5</v>
      </c>
      <c r="D70" t="s" s="5">
        <v>125</v>
      </c>
    </row>
    <row r="71">
      <c r="B71" s="4"/>
      <c r="C71" t="s" s="4">
        <v>127</v>
      </c>
      <c r="D71" t="s" s="5">
        <v>128</v>
      </c>
    </row>
    <row r="72">
      <c r="B72" s="4"/>
      <c r="C72" t="s" s="4">
        <v>22</v>
      </c>
      <c r="D72" t="s" s="5">
        <v>130</v>
      </c>
    </row>
    <row r="73">
      <c r="B73" t="s" s="3">
        <v>131</v>
      </c>
      <c r="C73" s="3"/>
      <c r="D73" s="3"/>
    </row>
    <row r="74">
      <c r="B74" s="4"/>
      <c r="C74" t="s" s="4">
        <v>22</v>
      </c>
      <c r="D74" t="s" s="5">
        <v>131</v>
      </c>
    </row>
  </sheetData>
  <mergeCells count="1">
    <mergeCell ref="B3:D3"/>
  </mergeCells>
  <hyperlinks>
    <hyperlink ref="D10" location="'Mamdoudé - Recipe'!R1C1" tooltip="" display="Mamdoudé - Recipe"/>
    <hyperlink ref="D11" location="'Mamdoudé - Sample Recipe'!R1C1" tooltip="" display="Mamdoudé - Sample Recipe"/>
    <hyperlink ref="D12" location="'Mamdoudé - Drawings'!R1C1" tooltip="" display="Mamdoudé - Drawings"/>
    <hyperlink ref="D14" location="'Bl Sayniyé - Sample Recipe'!R2C1" tooltip="" display="Bl Sayniyé - Sample Recipe"/>
    <hyperlink ref="D15" location="'Bl Sayniyé - Recipe'!R1C1" tooltip="" display="Bl Sayniyé - Recipe"/>
    <hyperlink ref="D16" location="'Bl Sayniyé - Drawings'!R1C1" tooltip="" display="Bl Sayniyé - Drawings"/>
    <hyperlink ref="D18" location="'Feta Kebbé - Sample Recipe'!R2C1" tooltip="" display="Feta Kebbé - Sample Recipe"/>
    <hyperlink ref="D19" location="'Feta Kebbé - Recipe'!R1C1" tooltip="" display="Feta Kebbé - Recipe"/>
    <hyperlink ref="D20" location="'Feta Kebbé - Drawings'!R1C1" tooltip="" display="Feta Kebbé - Drawings"/>
    <hyperlink ref="D22" location="'Onion &amp; Pine - Sample Recipe'!R2C1" tooltip="" display="Onion &amp; Pine - Sample Recipe"/>
    <hyperlink ref="D23" location="'Onion &amp; Pine - Recipe'!R1C1" tooltip="" display="Onion &amp; Pine - Recipe"/>
    <hyperlink ref="D24" location="'Onion &amp; Pine - Drawings'!R1C1" tooltip="" display="Onion &amp; Pine - Drawings"/>
    <hyperlink ref="D26" location="'Nayyé - Sample Recipe'!R2C1" tooltip="" display="Nayyé - Sample Recipe"/>
    <hyperlink ref="D27" location="'Nayyé - Recipe'!R1C1" tooltip="" display="Nayyé - Recipe"/>
    <hyperlink ref="D28" location="'Nayyé - Drawings'!R1C1" tooltip="" display="Nayyé - Drawings"/>
    <hyperlink ref="D30" location="'Hommos Kebbé - Sample Recipe'!R2C1" tooltip="" display="Hommos Kebbé - Sample Recipe"/>
    <hyperlink ref="D31" location="'Hommos Kebbé - Recipe'!R1C1" tooltip="" display="Hommos Kebbé - Recipe"/>
    <hyperlink ref="D32" location="'Hommos Kebbé - Drawings'!R1C1" tooltip="" display="Hommos Kebbé - Drawings"/>
    <hyperlink ref="D34" location="'Bou Emné - Sample Recipe'!R2C1" tooltip="" display="Bou Emné - Sample Recipe"/>
    <hyperlink ref="D35" location="'Bou Emné - Recipe'!R1C1" tooltip="" display="Bou Emné - Recipe"/>
    <hyperlink ref="D36" location="'Bou Emné - Drawings'!R1C1" tooltip="" display="Bou Emné - Drawings"/>
    <hyperlink ref="D38" location="'La'tine - Sample Recipe'!R2C1" tooltip="" display="La'tine - Sample Recipe"/>
    <hyperlink ref="D39" location="'La'tine - Recipe'!R1C1" tooltip="" display="La'tine - Recipe"/>
    <hyperlink ref="D40" location="'La'tine - Drawings'!R1C1" tooltip="" display="La'tine - Drawings"/>
    <hyperlink ref="D42" location="'Spiced Butter E'rass - Sample R'!R2C1" tooltip="" display="Spiced Butter E'rass - Sample R"/>
    <hyperlink ref="D43" location="'Spiced Butter E'rass - Recipe'!R1C1" tooltip="" display="Spiced Butter E'rass - Recipe"/>
    <hyperlink ref="D44" location="'Spiced Butter E'rass - Drawings'!R1C1" tooltip="" display="Spiced Butter E'rass - Drawings"/>
    <hyperlink ref="D46" location="'Kabkoub Acovado - Sample Recipe'!R2C1" tooltip="" display="Kabkoub Acovado - Sample Recipe"/>
    <hyperlink ref="D47" location="'Kabkoub Acovado - Recipe'!R1C1" tooltip="" display="Kabkoub Acovado - Recipe"/>
    <hyperlink ref="D48" location="'Kabkoub Acovado - Drawings'!R1C1" tooltip="" display="Kabkoub Acovado - Drawings"/>
    <hyperlink ref="D50" location="'Kabkoub Feta - Sample Recipe'!R2C1" tooltip="" display="Kabkoub Feta - Sample Recipe"/>
    <hyperlink ref="D51" location="'Kabkoub Feta - Recipe'!R1C1" tooltip="" display="Kabkoub Feta - Recipe"/>
    <hyperlink ref="D52" location="'Kabkoub Feta - Drawings'!R1C1" tooltip="" display="Kabkoub Feta - Drawings"/>
    <hyperlink ref="D54" location="'Kabkoub Onion - Sample Recipe'!R2C1" tooltip="" display="Kabkoub Onion - Sample Recipe"/>
    <hyperlink ref="D55" location="'Kabkoub Onion - Recipe'!R1C1" tooltip="" display="Kabkoub Onion - Recipe"/>
    <hyperlink ref="D56" location="'Kabkoub Onion - Drawings'!R1C1" tooltip="" display="Kabkoub Onion - Drawings"/>
    <hyperlink ref="D58" location="'Kabkoub Eggplant - Sample Recip'!R2C1" tooltip="" display="Kabkoub Eggplant - Sample Recip"/>
    <hyperlink ref="D59" location="'Kabkoub Eggplant - Recipe'!R1C1" tooltip="" display="Kabkoub Eggplant - Recipe"/>
    <hyperlink ref="D60" location="'Kabkoub Eggplant - Drawings'!R1C1" tooltip="" display="Kabkoub Eggplant - Drawings"/>
    <hyperlink ref="D62" location="'Meat Kabkoub - Sample Recipe'!R2C1" tooltip="" display="Meat Kabkoub - Sample Recipe"/>
    <hyperlink ref="D63" location="'Meat Kabkoub - Recipe'!R1C1" tooltip="" display="Meat Kabkoub - Recipe"/>
    <hyperlink ref="D64" location="'Meat Kabkoub - Drawings'!R1C1" tooltip="" display="Meat Kabkoub - Drawings"/>
    <hyperlink ref="D66" location="'Tzatziki Kabkoub - Sample Recip'!R2C1" tooltip="" display="Tzatziki Kabkoub - Sample Recip"/>
    <hyperlink ref="D67" location="'Tzatziki Kabkoub - Recipe'!R1C1" tooltip="" display="Tzatziki Kabkoub - Recipe"/>
    <hyperlink ref="D68" location="'Tzatziki Kabkoub - Drawings'!R1C1" tooltip="" display="Tzatziki Kabkoub - Drawings"/>
    <hyperlink ref="D70" location="'Vegan Tartelettes - Recipe'!R1C1" tooltip="" display="Vegan Tartelettes - Recipe"/>
    <hyperlink ref="D71" location="'Vegan Tartelettes - Recipe-1'!R1C1" tooltip="" display="Vegan Tartelettes - Recipe-1"/>
    <hyperlink ref="D72" location="'Vegan Tartelettes - Drawings'!R1C1" tooltip="" display="Vegan Tartelettes - Drawings"/>
    <hyperlink ref="D74" location="'Other - Outsourced'!R1C1" tooltip="" display="Other - Outsourced"/>
  </hyperlinks>
</worksheet>
</file>

<file path=xl/worksheets/sheet2.xml><?xml version="1.0" encoding="utf-8"?>
<worksheet xmlns:r="http://schemas.openxmlformats.org/officeDocument/2006/relationships" xmlns="http://schemas.openxmlformats.org/spreadsheetml/2006/main">
  <sheetPr>
    <pageSetUpPr fitToPage="1"/>
  </sheetPr>
  <dimension ref="A1:G6"/>
  <sheetViews>
    <sheetView workbookViewId="0" showGridLines="0" defaultGridColor="1"/>
  </sheetViews>
  <sheetFormatPr defaultColWidth="9" defaultRowHeight="20.55" customHeight="1" outlineLevelRow="0" outlineLevelCol="0"/>
  <cols>
    <col min="1" max="1" width="21" style="6" customWidth="1"/>
    <col min="2" max="3" width="9" style="6" customWidth="1"/>
    <col min="4" max="4" hidden="1" width="9" style="6" customWidth="1"/>
    <col min="5" max="6" width="9" style="6" customWidth="1"/>
    <col min="7" max="7" hidden="1" width="9" style="6" customWidth="1"/>
    <col min="8" max="256" width="9" style="6" customWidth="1"/>
  </cols>
  <sheetData>
    <row r="1" ht="23.5" customHeight="1">
      <c r="A1" t="s" s="7">
        <v>7</v>
      </c>
      <c r="B1" t="s" s="7">
        <v>8</v>
      </c>
      <c r="C1" s="8"/>
      <c r="D1" s="9"/>
      <c r="E1" t="s" s="7">
        <v>9</v>
      </c>
      <c r="F1" s="8"/>
      <c r="G1" s="9"/>
    </row>
    <row r="2" ht="21.6" customHeight="1">
      <c r="A2" t="s" s="10">
        <v>10</v>
      </c>
      <c r="B2" s="11">
        <v>300</v>
      </c>
      <c r="C2" t="s" s="12">
        <v>11</v>
      </c>
      <c r="D2" t="s" s="12">
        <f>IF(C2="oz","ozm",IF(C2="tbsp","tbs",IF(C2="fl oz","oz",IF(C2="L","l",IF(C2="mL","ml",IF(C2="lb","lbm",IF(C2="----","F",C2)))))))</f>
        <v>11</v>
      </c>
      <c r="E2" s="13">
        <f>IF(AND(D2="F",G2="F"),B2,CONVERT(B2,D2,G2))*'Mamdoudé - Sample Recipe'!$C$2/'Mamdoudé - Sample Recipe'!$B$2</f>
        <v>159</v>
      </c>
      <c r="F2" t="s" s="12">
        <v>11</v>
      </c>
      <c r="G2" t="s" s="12">
        <f>IF(F2="oz","ozm",IF(F2="tbsp","tbs",IF(F2="fl oz","oz",IF(F2="L","l",IF(F2="mL","ml",IF(F2="lb","lbm",IF(F2="----","F",F2)))))))</f>
        <v>11</v>
      </c>
    </row>
    <row r="3" ht="21.25" customHeight="1">
      <c r="A3" t="s" s="14">
        <v>12</v>
      </c>
      <c r="B3" s="15">
        <v>150</v>
      </c>
      <c r="C3" t="s" s="16">
        <v>11</v>
      </c>
      <c r="D3" t="s" s="16">
        <f>IF(C3="oz","ozm",IF(C3="tbsp","tbs",IF(C3="fl oz","oz",IF(C3="L","l",IF(C3="mL","ml",IF(C3="lb","lbm",IF(C3="----","F",C3)))))))</f>
        <v>11</v>
      </c>
      <c r="E3" s="17">
        <f>IF(AND(D3="F",G3="F"),B3,CONVERT(B3,D3,G3))*'Mamdoudé - Sample Recipe'!$C$2/'Mamdoudé - Sample Recipe'!$B$2</f>
        <v>79.5</v>
      </c>
      <c r="F3" t="s" s="16">
        <v>11</v>
      </c>
      <c r="G3" t="s" s="16">
        <f>IF(F3="oz","ozm",IF(F3="tbsp","tbs",IF(F3="fl oz","oz",IF(F3="L","l",IF(F3="mL","ml",IF(F3="lb","lbm",IF(F3="----","F",F3)))))))</f>
        <v>11</v>
      </c>
    </row>
    <row r="4" ht="21.25" customHeight="1">
      <c r="A4" t="s" s="14">
        <v>13</v>
      </c>
      <c r="B4" s="15">
        <v>120</v>
      </c>
      <c r="C4" t="s" s="16">
        <v>14</v>
      </c>
      <c r="D4" t="s" s="16">
        <f>IF(C4="oz","ozm",IF(C4="tbsp","tbs",IF(C4="fl oz","oz",IF(C4="L","l",IF(C4="mL","ml",IF(C4="lb","lbm",IF(C4="----","F",C4)))))))</f>
        <v>15</v>
      </c>
      <c r="E4" s="17">
        <f>IF(AND(D4="F",G4="F"),B4,CONVERT(B4,D4,G4))*'Mamdoudé - Sample Recipe'!$C$2/'Mamdoudé - Sample Recipe'!$B$2</f>
        <v>63.6</v>
      </c>
      <c r="F4" t="s" s="16">
        <v>14</v>
      </c>
      <c r="G4" t="s" s="16">
        <f>IF(F4="oz","ozm",IF(F4="tbsp","tbs",IF(F4="fl oz","oz",IF(F4="L","l",IF(F4="mL","ml",IF(F4="lb","lbm",IF(F4="----","F",F4)))))))</f>
        <v>15</v>
      </c>
    </row>
    <row r="5" ht="21.6" customHeight="1">
      <c r="A5" t="s" s="18">
        <v>16</v>
      </c>
      <c r="B5" s="19">
        <v>2</v>
      </c>
      <c r="C5" t="s" s="20">
        <v>17</v>
      </c>
      <c r="D5" t="s" s="16">
        <f>IF(C5="oz","ozm",IF(C5="tbsp","tbs",IF(C5="fl oz","oz",IF(C5="L","l",IF(C5="mL","ml",IF(C5="lb","lbm",IF(C5="----","F",C5)))))))</f>
        <v>17</v>
      </c>
      <c r="E5" s="21">
        <f>IF(AND(D5="F",G5="F"),B5,CONVERT(B5,D5,G5))*'Mamdoudé - Sample Recipe'!$C$2/'Mamdoudé - Sample Recipe'!$B$2</f>
        <v>1.06</v>
      </c>
      <c r="F5" t="s" s="20">
        <v>17</v>
      </c>
      <c r="G5" t="s" s="16">
        <f>IF(F5="oz","ozm",IF(F5="tbsp","tbs",IF(F5="fl oz","oz",IF(F5="L","l",IF(F5="mL","ml",IF(F5="lb","lbm",IF(F5="----","F",F5)))))))</f>
        <v>17</v>
      </c>
    </row>
    <row r="6" ht="22" customHeight="1">
      <c r="A6" t="s" s="22">
        <v>18</v>
      </c>
      <c r="B6" s="23">
        <v>1</v>
      </c>
      <c r="C6" t="s" s="24">
        <v>17</v>
      </c>
      <c r="D6" t="s" s="25">
        <f>IF(C6="oz","ozm",IF(C6="tbsp","tbs",IF(C6="fl oz","oz",IF(C6="L","l",IF(C6="mL","ml",IF(C6="lb","lbm",IF(C6="----","F",C6)))))))</f>
        <v>17</v>
      </c>
      <c r="E6" s="26">
        <f>IF(AND(D6="F",G6="F"),B6,CONVERT(B6,D6,G6))*'Mamdoudé - Sample Recipe'!$C$2/'Mamdoudé - Sample Recipe'!$B$2</f>
        <v>0.53</v>
      </c>
      <c r="F6" t="s" s="24">
        <v>17</v>
      </c>
      <c r="G6" t="s" s="25">
        <f>IF(F6="oz","ozm",IF(F6="tbsp","tbs",IF(F6="fl oz","oz",IF(F6="L","l",IF(F6="mL","ml",IF(F6="lb","lbm",IF(F6="----","F",F6)))))))</f>
        <v>17</v>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C2"/>
  <sheetViews>
    <sheetView workbookViewId="0" showGridLines="0" defaultGridColor="1"/>
  </sheetViews>
  <sheetFormatPr defaultColWidth="21" defaultRowHeight="20.55" customHeight="1" outlineLevelRow="0" outlineLevelCol="0"/>
  <cols>
    <col min="1" max="1" width="21" style="27" customWidth="1"/>
    <col min="2" max="3" width="18" style="27" customWidth="1"/>
    <col min="4" max="256" width="21" style="27" customWidth="1"/>
  </cols>
  <sheetData>
    <row r="1" ht="19.5" customHeight="1">
      <c r="A1" s="28"/>
      <c r="B1" t="s" s="28">
        <v>21</v>
      </c>
      <c r="C1" t="s" s="28">
        <v>21</v>
      </c>
    </row>
    <row r="2" ht="22" customHeight="1">
      <c r="A2" s="24"/>
      <c r="B2" s="29">
        <v>10</v>
      </c>
      <c r="C2" s="29">
        <v>5.3</v>
      </c>
    </row>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4.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5.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30" customWidth="1"/>
    <col min="2" max="3" width="18" style="30" customWidth="1"/>
    <col min="4" max="256" width="21" style="30" customWidth="1"/>
  </cols>
  <sheetData>
    <row r="1" ht="28" customHeight="1">
      <c r="A1" t="s" s="31">
        <v>19</v>
      </c>
      <c r="B1" s="31"/>
      <c r="C1" s="31"/>
    </row>
    <row r="2" ht="19.5" customHeight="1">
      <c r="A2" s="28"/>
      <c r="B2" t="s" s="28">
        <v>26</v>
      </c>
      <c r="C2" t="s" s="28">
        <v>21</v>
      </c>
    </row>
    <row r="3" ht="22" customHeight="1">
      <c r="A3" s="24"/>
      <c r="B3" s="29">
        <v>10</v>
      </c>
      <c r="C3" s="29">
        <v>5.3</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G10"/>
  <sheetViews>
    <sheetView workbookViewId="0" showGridLines="0" defaultGridColor="1"/>
  </sheetViews>
  <sheetFormatPr defaultColWidth="9" defaultRowHeight="20.55" customHeight="1" outlineLevelRow="0" outlineLevelCol="0"/>
  <cols>
    <col min="1" max="1" width="21" style="32" customWidth="1"/>
    <col min="2" max="3" width="9" style="32" customWidth="1"/>
    <col min="4" max="4" hidden="1" width="9" style="32" customWidth="1"/>
    <col min="5" max="6" width="9" style="32" customWidth="1"/>
    <col min="7" max="7" hidden="1" width="9" style="32" customWidth="1"/>
    <col min="8" max="256" width="9" style="32" customWidth="1"/>
  </cols>
  <sheetData>
    <row r="1" ht="23.5" customHeight="1">
      <c r="A1" t="s" s="33">
        <v>7</v>
      </c>
      <c r="B1" t="s" s="33">
        <v>8</v>
      </c>
      <c r="C1" s="8"/>
      <c r="D1" s="9"/>
      <c r="E1" t="s" s="33">
        <v>9</v>
      </c>
      <c r="F1" s="8"/>
      <c r="G1" s="9"/>
    </row>
    <row r="2" ht="21.6" customHeight="1">
      <c r="A2" t="s" s="10">
        <v>10</v>
      </c>
      <c r="B2" s="11">
        <v>550</v>
      </c>
      <c r="C2" t="s" s="12">
        <v>11</v>
      </c>
      <c r="D2" t="s" s="12">
        <f>IF(C2="oz","ozm",IF(C2="tbsp","tbs",IF(C2="fl oz","oz",IF(C2="L","l",IF(C2="mL","ml",IF(C2="lb","lbm",IF(C2="----","F",C2)))))))</f>
        <v>11</v>
      </c>
      <c r="E2" s="13">
        <f>IF(AND(D2="F",G2="F"),B2,CONVERT(B2,D2,G2))*'Bl Sayniyé - Sample Recipe'!$C$3/'Bl Sayniyé - Sample Recipe'!$B$3</f>
        <v>291.5</v>
      </c>
      <c r="F2" t="s" s="12">
        <v>11</v>
      </c>
      <c r="G2" t="s" s="12">
        <f>IF(F2="oz","ozm",IF(F2="tbsp","tbs",IF(F2="fl oz","oz",IF(F2="L","l",IF(F2="mL","ml",IF(F2="lb","lbm",IF(F2="----","F",F2)))))))</f>
        <v>11</v>
      </c>
    </row>
    <row r="3" ht="21.25" customHeight="1">
      <c r="A3" t="s" s="14">
        <v>12</v>
      </c>
      <c r="B3" s="15">
        <v>250</v>
      </c>
      <c r="C3" t="s" s="16">
        <v>11</v>
      </c>
      <c r="D3" t="s" s="16">
        <f>IF(C3="oz","ozm",IF(C3="tbsp","tbs",IF(C3="fl oz","oz",IF(C3="L","l",IF(C3="mL","ml",IF(C3="lb","lbm",IF(C3="----","F",C3)))))))</f>
        <v>11</v>
      </c>
      <c r="E3" s="17">
        <f>IF(AND(D3="F",G3="F"),B3,CONVERT(B3,D3,G3))*'Bl Sayniyé - Sample Recipe'!$C$3/'Bl Sayniyé - Sample Recipe'!$B$3</f>
        <v>132.5</v>
      </c>
      <c r="F3" t="s" s="16">
        <v>11</v>
      </c>
      <c r="G3" t="s" s="16">
        <f>IF(F3="oz","ozm",IF(F3="tbsp","tbs",IF(F3="fl oz","oz",IF(F3="L","l",IF(F3="mL","ml",IF(F3="lb","lbm",IF(F3="----","F",F3)))))))</f>
        <v>11</v>
      </c>
    </row>
    <row r="4" ht="21.25" customHeight="1">
      <c r="A4" t="s" s="14">
        <v>28</v>
      </c>
      <c r="B4" s="15">
        <v>18</v>
      </c>
      <c r="C4" t="s" s="16">
        <v>11</v>
      </c>
      <c r="D4" t="s" s="16">
        <f>IF(C4="oz","ozm",IF(C4="tbsp","tbs",IF(C4="fl oz","oz",IF(C4="L","l",IF(C4="mL","ml",IF(C4="lb","lbm",IF(C4="----","F",C4)))))))</f>
        <v>11</v>
      </c>
      <c r="E4" s="17">
        <f>IF(AND(D4="F",G4="F"),B4,CONVERT(B4,D4,G4))*'Bl Sayniyé - Sample Recipe'!$C$3/'Bl Sayniyé - Sample Recipe'!$B$3</f>
        <v>9.539999999999999</v>
      </c>
      <c r="F4" t="s" s="16">
        <v>11</v>
      </c>
      <c r="G4" t="s" s="16">
        <f>IF(F4="oz","ozm",IF(F4="tbsp","tbs",IF(F4="fl oz","oz",IF(F4="L","l",IF(F4="mL","ml",IF(F4="lb","lbm",IF(F4="----","F",F4)))))))</f>
        <v>11</v>
      </c>
    </row>
    <row r="5" ht="21.25" customHeight="1">
      <c r="A5" t="s" s="14">
        <v>29</v>
      </c>
      <c r="B5" s="15">
        <v>160</v>
      </c>
      <c r="C5" t="s" s="16">
        <v>11</v>
      </c>
      <c r="D5" t="s" s="16">
        <f>IF(C5="oz","ozm",IF(C5="tbsp","tbs",IF(C5="fl oz","oz",IF(C5="L","l",IF(C5="mL","ml",IF(C5="lb","lbm",IF(C5="----","F",C5)))))))</f>
        <v>11</v>
      </c>
      <c r="E5" s="17">
        <f>IF(AND(D5="F",G5="F"),B5,CONVERT(B5,D5,G5))*'Bl Sayniyé - Sample Recipe'!$C$3/'Bl Sayniyé - Sample Recipe'!$B$3</f>
        <v>84.8</v>
      </c>
      <c r="F5" t="s" s="16">
        <v>11</v>
      </c>
      <c r="G5" t="s" s="16">
        <f>IF(F5="oz","ozm",IF(F5="tbsp","tbs",IF(F5="fl oz","oz",IF(F5="L","l",IF(F5="mL","ml",IF(F5="lb","lbm",IF(F5="----","F",F5)))))))</f>
        <v>11</v>
      </c>
    </row>
    <row r="6" ht="21.25" customHeight="1">
      <c r="A6" t="s" s="14">
        <v>30</v>
      </c>
      <c r="B6" s="15">
        <v>1</v>
      </c>
      <c r="C6" t="s" s="16">
        <v>31</v>
      </c>
      <c r="D6" t="s" s="16">
        <f>IF(C6="oz","ozm",IF(C6="tbsp","tbs",IF(C6="fl oz","oz",IF(C6="L","l",IF(C6="mL","ml",IF(C6="lb","lbm",IF(C6="----","F",C6)))))))</f>
        <v>32</v>
      </c>
      <c r="E6" s="17">
        <f>IF(AND(D6="F",G6="F"),B6,CONVERT(B6,D6,G6))*'Bl Sayniyé - Sample Recipe'!$C$3/'Bl Sayniyé - Sample Recipe'!$B$3</f>
        <v>0.53</v>
      </c>
      <c r="F6" t="s" s="16">
        <v>31</v>
      </c>
      <c r="G6" t="s" s="16">
        <f>IF(F6="oz","ozm",IF(F6="tbsp","tbs",IF(F6="fl oz","oz",IF(F6="L","l",IF(F6="mL","ml",IF(F6="lb","lbm",IF(F6="----","F",F6)))))))</f>
        <v>32</v>
      </c>
    </row>
    <row r="7" ht="21.25" customHeight="1">
      <c r="A7" t="s" s="14">
        <v>13</v>
      </c>
      <c r="B7" s="15">
        <v>120</v>
      </c>
      <c r="C7" t="s" s="16">
        <v>14</v>
      </c>
      <c r="D7" t="s" s="16">
        <f>IF(C7="oz","ozm",IF(C7="tbsp","tbs",IF(C7="fl oz","oz",IF(C7="L","l",IF(C7="mL","ml",IF(C7="lb","lbm",IF(C7="----","F",C7)))))))</f>
        <v>15</v>
      </c>
      <c r="E7" s="17">
        <f>IF(AND(D7="F",G7="F"),B7,CONVERT(B7,D7,G7))*'Bl Sayniyé - Sample Recipe'!$C$3/'Bl Sayniyé - Sample Recipe'!$B$3</f>
        <v>63.6</v>
      </c>
      <c r="F7" t="s" s="16">
        <v>14</v>
      </c>
      <c r="G7" t="s" s="16">
        <f>IF(F7="oz","ozm",IF(F7="tbsp","tbs",IF(F7="fl oz","oz",IF(F7="L","l",IF(F7="mL","ml",IF(F7="lb","lbm",IF(F7="----","F",F7)))))))</f>
        <v>15</v>
      </c>
    </row>
    <row r="8" ht="34.25" customHeight="1">
      <c r="A8" t="s" s="14">
        <v>33</v>
      </c>
      <c r="B8" s="15">
        <v>2</v>
      </c>
      <c r="C8" t="s" s="16">
        <v>31</v>
      </c>
      <c r="D8" t="s" s="16">
        <f>IF(C8="oz","ozm",IF(C8="tbsp","tbs",IF(C8="fl oz","oz",IF(C8="L","l",IF(C8="mL","ml",IF(C8="lb","lbm",IF(C8="----","F",C8)))))))</f>
        <v>32</v>
      </c>
      <c r="E8" s="17">
        <f>IF(AND(D8="F",G8="F"),B8,CONVERT(B8,D8,G8))*'Bl Sayniyé - Sample Recipe'!$C$3/'Bl Sayniyé - Sample Recipe'!$B$3</f>
        <v>1.06</v>
      </c>
      <c r="F8" t="s" s="16">
        <v>31</v>
      </c>
      <c r="G8" t="s" s="16">
        <f>IF(F8="oz","ozm",IF(F8="tbsp","tbs",IF(F8="fl oz","oz",IF(F8="L","l",IF(F8="mL","ml",IF(F8="lb","lbm",IF(F8="----","F",F8)))))))</f>
        <v>32</v>
      </c>
    </row>
    <row r="9" ht="21.6" customHeight="1">
      <c r="A9" t="s" s="18">
        <v>16</v>
      </c>
      <c r="B9" s="19">
        <v>2</v>
      </c>
      <c r="C9" t="s" s="20">
        <v>17</v>
      </c>
      <c r="D9" t="s" s="20">
        <f>IF(C9="oz","ozm",IF(C9="tbsp","tbs",IF(C9="fl oz","oz",IF(C9="L","l",IF(C9="mL","ml",IF(C9="lb","lbm",IF(C9="----","F",C9)))))))</f>
        <v>17</v>
      </c>
      <c r="E9" s="21">
        <f>IF(AND(D9="F",G9="F"),B9,CONVERT(B9,D9,G9))*'Bl Sayniyé - Sample Recipe'!$C$3/'Bl Sayniyé - Sample Recipe'!$B$3</f>
        <v>1.06</v>
      </c>
      <c r="F9" t="s" s="20">
        <v>17</v>
      </c>
      <c r="G9" t="s" s="20">
        <f>IF(F9="oz","ozm",IF(F9="tbsp","tbs",IF(F9="fl oz","oz",IF(F9="L","l",IF(F9="mL","ml",IF(F9="lb","lbm",IF(F9="----","F",F9)))))))</f>
        <v>17</v>
      </c>
    </row>
    <row r="10" ht="22" customHeight="1">
      <c r="A10" t="s" s="22">
        <v>18</v>
      </c>
      <c r="B10" s="23">
        <v>1</v>
      </c>
      <c r="C10" t="s" s="24">
        <v>17</v>
      </c>
      <c r="D10" t="s" s="24">
        <f>IF(C10="oz","ozm",IF(C10="tbsp","tbs",IF(C10="fl oz","oz",IF(C10="L","l",IF(C10="mL","ml",IF(C10="lb","lbm",IF(C10="----","F",C10)))))))</f>
        <v>17</v>
      </c>
      <c r="E10" s="26">
        <f>IF(AND(D10="F",G10="F"),B10,CONVERT(B10,D10,G10))*'Bl Sayniyé - Sample Recipe'!$C$3/'Bl Sayniyé - Sample Recipe'!$B$3</f>
        <v>0.53</v>
      </c>
      <c r="F10" t="s" s="24">
        <v>17</v>
      </c>
      <c r="G10" t="s" s="24">
        <f>IF(F10="oz","ozm",IF(F10="tbsp","tbs",IF(F10="fl oz","oz",IF(F10="L","l",IF(F10="mL","ml",IF(F10="lb","lbm",IF(F10="----","F",F10)))))))</f>
        <v>17</v>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7.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8.xml><?xml version="1.0" encoding="utf-8"?>
<worksheet xmlns:r="http://schemas.openxmlformats.org/officeDocument/2006/relationships" xmlns="http://schemas.openxmlformats.org/spreadsheetml/2006/main">
  <sheetPr>
    <pageSetUpPr fitToPage="1"/>
  </sheetPr>
  <dimension ref="A2:C4"/>
  <sheetViews>
    <sheetView workbookViewId="0" showGridLines="0" defaultGridColor="1"/>
  </sheetViews>
  <sheetFormatPr defaultColWidth="21" defaultRowHeight="20.55" customHeight="1" outlineLevelRow="0" outlineLevelCol="0"/>
  <cols>
    <col min="1" max="1" width="21" style="34" customWidth="1"/>
    <col min="2" max="3" width="18" style="34" customWidth="1"/>
    <col min="4" max="256" width="21" style="34" customWidth="1"/>
  </cols>
  <sheetData>
    <row r="1" ht="28" customHeight="1">
      <c r="A1" t="s" s="31">
        <v>19</v>
      </c>
      <c r="B1" s="31"/>
      <c r="C1" s="31"/>
    </row>
    <row r="2" ht="19.5" customHeight="1">
      <c r="A2" s="28"/>
      <c r="B2" t="s" s="28">
        <v>26</v>
      </c>
      <c r="C2" t="s" s="28">
        <v>21</v>
      </c>
    </row>
    <row r="3" ht="22" customHeight="1">
      <c r="A3" s="24"/>
      <c r="B3" s="29">
        <v>10</v>
      </c>
      <c r="C3" s="29">
        <v>5.3</v>
      </c>
    </row>
    <row r="4" ht="22" customHeight="1">
      <c r="A4" s="35"/>
      <c r="B4" s="29"/>
      <c r="C4" s="29"/>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G11"/>
  <sheetViews>
    <sheetView workbookViewId="0" showGridLines="0" defaultGridColor="1"/>
  </sheetViews>
  <sheetFormatPr defaultColWidth="9" defaultRowHeight="20.55" customHeight="1" outlineLevelRow="0" outlineLevelCol="0"/>
  <cols>
    <col min="1" max="1" width="21" style="36" customWidth="1"/>
    <col min="2" max="3" width="9" style="36" customWidth="1"/>
    <col min="4" max="4" hidden="1" width="9" style="36" customWidth="1"/>
    <col min="5" max="6" width="9" style="36" customWidth="1"/>
    <col min="7" max="7" hidden="1" width="9" style="36" customWidth="1"/>
    <col min="8" max="256" width="9" style="36" customWidth="1"/>
  </cols>
  <sheetData>
    <row r="1" ht="24.5" customHeight="1">
      <c r="A1" t="s" s="37">
        <v>7</v>
      </c>
      <c r="B1" t="s" s="37">
        <v>8</v>
      </c>
      <c r="C1" s="8"/>
      <c r="D1" s="9"/>
      <c r="E1" t="s" s="37">
        <v>9</v>
      </c>
      <c r="F1" s="8"/>
      <c r="G1" s="9"/>
    </row>
    <row r="2" ht="21.6" customHeight="1">
      <c r="A2" t="s" s="10">
        <v>10</v>
      </c>
      <c r="B2" s="11">
        <v>400</v>
      </c>
      <c r="C2" t="s" s="12">
        <v>11</v>
      </c>
      <c r="D2" t="s" s="12">
        <f>IF(C2="oz","ozm",IF(C2="tbsp","tbs",IF(C2="fl oz","oz",IF(C2="L","l",IF(C2="mL","ml",IF(C2="lb","lbm",IF(C2="----","F",C2)))))))</f>
        <v>11</v>
      </c>
      <c r="E2" s="13">
        <f>IF(AND(D2="F",G2="F"),B2,CONVERT(B2,D2,G2))*'Feta Kebbé - Sample Recipe'!$C$3/'Feta Kebbé - Sample Recipe'!$B$3</f>
        <v>212</v>
      </c>
      <c r="F2" t="s" s="12">
        <v>11</v>
      </c>
      <c r="G2" t="s" s="12">
        <f>IF(F2="oz","ozm",IF(F2="tbsp","tbs",IF(F2="fl oz","oz",IF(F2="L","l",IF(F2="mL","ml",IF(F2="lb","lbm",IF(F2="----","F",F2)))))))</f>
        <v>11</v>
      </c>
    </row>
    <row r="3" ht="21.25" customHeight="1">
      <c r="A3" t="s" s="14">
        <v>12</v>
      </c>
      <c r="B3" s="15">
        <v>250</v>
      </c>
      <c r="C3" t="s" s="16">
        <v>11</v>
      </c>
      <c r="D3" t="s" s="16">
        <f>IF(C3="oz","ozm",IF(C3="tbsp","tbs",IF(C3="fl oz","oz",IF(C3="L","l",IF(C3="mL","ml",IF(C3="lb","lbm",IF(C3="----","F",C3)))))))</f>
        <v>11</v>
      </c>
      <c r="E3" s="17">
        <f>IF(AND(D3="F",G3="F"),B3,CONVERT(B3,D3,G3))*'Feta Kebbé - Sample Recipe'!$C$3/'Feta Kebbé - Sample Recipe'!$B$3</f>
        <v>132.5</v>
      </c>
      <c r="F3" t="s" s="16">
        <v>11</v>
      </c>
      <c r="G3" t="s" s="16">
        <f>IF(F3="oz","ozm",IF(F3="tbsp","tbs",IF(F3="fl oz","oz",IF(F3="L","l",IF(F3="mL","ml",IF(F3="lb","lbm",IF(F3="----","F",F3)))))))</f>
        <v>11</v>
      </c>
    </row>
    <row r="4" ht="21.25" customHeight="1">
      <c r="A4" t="s" s="14">
        <v>38</v>
      </c>
      <c r="B4" s="15">
        <v>150</v>
      </c>
      <c r="C4" t="s" s="16">
        <v>11</v>
      </c>
      <c r="D4" t="s" s="16">
        <f>IF(C4="oz","ozm",IF(C4="tbsp","tbs",IF(C4="fl oz","oz",IF(C4="L","l",IF(C4="mL","ml",IF(C4="lb","lbm",IF(C4="----","F",C4)))))))</f>
        <v>11</v>
      </c>
      <c r="E4" s="17">
        <f>IF(AND(D4="F",G4="F"),B4,CONVERT(B4,D4,G4))*'Feta Kebbé - Sample Recipe'!$C$3/'Feta Kebbé - Sample Recipe'!$B$3</f>
        <v>79.5</v>
      </c>
      <c r="F4" t="s" s="16">
        <v>11</v>
      </c>
      <c r="G4" t="s" s="16">
        <f>IF(F4="oz","ozm",IF(F4="tbsp","tbs",IF(F4="fl oz","oz",IF(F4="L","l",IF(F4="mL","ml",IF(F4="lb","lbm",IF(F4="----","F",F4)))))))</f>
        <v>11</v>
      </c>
    </row>
    <row r="5" ht="21.25" customHeight="1">
      <c r="A5" t="s" s="14">
        <v>29</v>
      </c>
      <c r="B5" s="15">
        <v>160</v>
      </c>
      <c r="C5" t="s" s="16">
        <v>11</v>
      </c>
      <c r="D5" t="s" s="16">
        <f>IF(C5="oz","ozm",IF(C5="tbsp","tbs",IF(C5="fl oz","oz",IF(C5="L","l",IF(C5="mL","ml",IF(C5="lb","lbm",IF(C5="----","F",C5)))))))</f>
        <v>11</v>
      </c>
      <c r="E5" s="17">
        <f>IF(AND(D5="F",G5="F"),B5,CONVERT(B5,D5,G5))*'Feta Kebbé - Sample Recipe'!$C$3/'Feta Kebbé - Sample Recipe'!$B$3</f>
        <v>84.8</v>
      </c>
      <c r="F5" t="s" s="16">
        <v>11</v>
      </c>
      <c r="G5" t="s" s="16">
        <f>IF(F5="oz","ozm",IF(F5="tbsp","tbs",IF(F5="fl oz","oz",IF(F5="L","l",IF(F5="mL","ml",IF(F5="lb","lbm",IF(F5="----","F",F5)))))))</f>
        <v>11</v>
      </c>
    </row>
    <row r="6" ht="21.25" customHeight="1">
      <c r="A6" t="s" s="14">
        <v>39</v>
      </c>
      <c r="B6" s="15">
        <v>30</v>
      </c>
      <c r="C6" t="s" s="16">
        <v>11</v>
      </c>
      <c r="D6" t="s" s="16">
        <f>IF(C6="oz","ozm",IF(C6="tbsp","tbs",IF(C6="fl oz","oz",IF(C6="L","l",IF(C6="mL","ml",IF(C6="lb","lbm",IF(C6="----","F",C6)))))))</f>
        <v>11</v>
      </c>
      <c r="E6" s="17">
        <f>IF(AND(D6="F",G6="F"),B6,CONVERT(B6,D6,G6))*'Feta Kebbé - Sample Recipe'!$C$3/'Feta Kebbé - Sample Recipe'!$B$3</f>
        <v>15.9</v>
      </c>
      <c r="F6" t="s" s="16">
        <v>11</v>
      </c>
      <c r="G6" t="s" s="16">
        <f>IF(F6="oz","ozm",IF(F6="tbsp","tbs",IF(F6="fl oz","oz",IF(F6="L","l",IF(F6="mL","ml",IF(F6="lb","lbm",IF(F6="----","F",F6)))))))</f>
        <v>11</v>
      </c>
    </row>
    <row r="7" ht="21.25" customHeight="1">
      <c r="A7" t="s" s="14">
        <v>13</v>
      </c>
      <c r="B7" s="15">
        <v>120</v>
      </c>
      <c r="C7" t="s" s="16">
        <v>14</v>
      </c>
      <c r="D7" t="s" s="16">
        <f>IF(C7="oz","ozm",IF(C7="tbsp","tbs",IF(C7="fl oz","oz",IF(C7="L","l",IF(C7="mL","ml",IF(C7="lb","lbm",IF(C7="----","F",C7)))))))</f>
        <v>15</v>
      </c>
      <c r="E7" s="17">
        <f>IF(AND(D7="F",G7="F"),B7,CONVERT(B7,D7,G7))*'Feta Kebbé - Sample Recipe'!$C$3/'Feta Kebbé - Sample Recipe'!$B$3</f>
        <v>63.6</v>
      </c>
      <c r="F7" t="s" s="16">
        <v>14</v>
      </c>
      <c r="G7" t="s" s="16">
        <f>IF(F7="oz","ozm",IF(F7="tbsp","tbs",IF(F7="fl oz","oz",IF(F7="L","l",IF(F7="mL","ml",IF(F7="lb","lbm",IF(F7="----","F",F7)))))))</f>
        <v>15</v>
      </c>
    </row>
    <row r="8" ht="21.25" customHeight="1">
      <c r="A8" t="s" s="14">
        <v>40</v>
      </c>
      <c r="B8" s="15">
        <v>2</v>
      </c>
      <c r="C8" t="s" s="16">
        <v>17</v>
      </c>
      <c r="D8" t="s" s="16">
        <f>IF(C8="oz","ozm",IF(C8="tbsp","tbs",IF(C8="fl oz","oz",IF(C8="L","l",IF(C8="mL","ml",IF(C8="lb","lbm",IF(C8="----","F",C8)))))))</f>
        <v>17</v>
      </c>
      <c r="E8" s="17">
        <f>IF(AND(D8="F",G8="F"),B8,CONVERT(B8,D8,G8))*'Feta Kebbé - Sample Recipe'!$C$3/'Feta Kebbé - Sample Recipe'!$B$3</f>
        <v>0.3533333333333333</v>
      </c>
      <c r="F8" t="s" s="16">
        <v>31</v>
      </c>
      <c r="G8" t="s" s="16">
        <f>IF(F8="oz","ozm",IF(F8="tbsp","tbs",IF(F8="fl oz","oz",IF(F8="L","l",IF(F8="mL","ml",IF(F8="lb","lbm",IF(F8="----","F",F8)))))))</f>
        <v>32</v>
      </c>
    </row>
    <row r="9" ht="21.6" customHeight="1">
      <c r="A9" t="s" s="18">
        <v>16</v>
      </c>
      <c r="B9" s="19">
        <v>2</v>
      </c>
      <c r="C9" t="s" s="20">
        <v>17</v>
      </c>
      <c r="D9" t="s" s="20">
        <f>IF(C9="oz","ozm",IF(C9="tbsp","tbs",IF(C9="fl oz","oz",IF(C9="L","l",IF(C9="mL","ml",IF(C9="lb","lbm",IF(C9="----","F",C9)))))))</f>
        <v>17</v>
      </c>
      <c r="E9" s="21">
        <f>IF(AND(D9="F",G9="F"),B9,CONVERT(B9,D9,G9))*'Feta Kebbé - Sample Recipe'!$C$3/'Feta Kebbé - Sample Recipe'!$B$3</f>
        <v>1.06</v>
      </c>
      <c r="F9" t="s" s="20">
        <v>17</v>
      </c>
      <c r="G9" t="s" s="20">
        <f>IF(F9="oz","ozm",IF(F9="tbsp","tbs",IF(F9="fl oz","oz",IF(F9="L","l",IF(F9="mL","ml",IF(F9="lb","lbm",IF(F9="----","F",F9)))))))</f>
        <v>17</v>
      </c>
    </row>
    <row r="10" ht="22" customHeight="1">
      <c r="A10" t="s" s="22">
        <v>41</v>
      </c>
      <c r="B10" s="23">
        <v>1</v>
      </c>
      <c r="C10" t="s" s="24">
        <v>17</v>
      </c>
      <c r="D10" t="s" s="24">
        <f>IF(C10="oz","ozm",IF(C10="tbsp","tbs",IF(C10="fl oz","oz",IF(C10="L","l",IF(C10="mL","ml",IF(C10="lb","lbm",IF(C10="----","F",C10)))))))</f>
        <v>17</v>
      </c>
      <c r="E10" s="26">
        <f>IF(AND(D10="F",G10="F"),B10,CONVERT(B10,D10,G10))*'Feta Kebbé - Sample Recipe'!$C$3/'Feta Kebbé - Sample Recipe'!$B$3</f>
        <v>0.53</v>
      </c>
      <c r="F10" t="s" s="24">
        <v>17</v>
      </c>
      <c r="G10" t="s" s="24">
        <f>IF(F10="oz","ozm",IF(F10="tbsp","tbs",IF(F10="fl oz","oz",IF(F10="L","l",IF(F10="mL","ml",IF(F10="lb","lbm",IF(F10="----","F",F10)))))))</f>
        <v>17</v>
      </c>
    </row>
    <row r="11" ht="22" customHeight="1">
      <c r="A11" t="s" s="22">
        <v>42</v>
      </c>
      <c r="B11" s="23">
        <v>1</v>
      </c>
      <c r="C11" t="s" s="24">
        <v>17</v>
      </c>
      <c r="D11" t="s" s="24">
        <f>IF(C11="oz","ozm",IF(C11="tbsp","tbs",IF(C11="fl oz","oz",IF(C11="L","l",IF(C11="mL","ml",IF(C11="lb","lbm",IF(C11="----","F",C11)))))))</f>
        <v>17</v>
      </c>
      <c r="E11" s="26">
        <f>IF(AND(D11="F",G11="F"),B11,CONVERT(B11,D11,G11))*'Feta Kebbé - Sample Recipe'!$C$3/'Feta Kebbé - Sample Recipe'!$B$3</f>
        <v>0.53</v>
      </c>
      <c r="F11" t="s" s="24">
        <v>17</v>
      </c>
      <c r="G11" t="s" s="24">
        <f>IF(F11="oz","ozm",IF(F11="tbsp","tbs",IF(F11="fl oz","oz",IF(F11="L","l",IF(F11="mL","ml",IF(F11="lb","lbm",IF(F11="----","F",F11)))))))</f>
        <v>17</v>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11.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38" customWidth="1"/>
    <col min="2" max="3" width="18" style="38" customWidth="1"/>
    <col min="4" max="256" width="21" style="38" customWidth="1"/>
  </cols>
  <sheetData>
    <row r="1" ht="28" customHeight="1">
      <c r="A1" t="s" s="31">
        <v>19</v>
      </c>
      <c r="B1" s="31"/>
      <c r="C1" s="31"/>
    </row>
    <row r="2" ht="19.5" customHeight="1">
      <c r="A2" s="28"/>
      <c r="B2" t="s" s="28">
        <v>26</v>
      </c>
      <c r="C2" t="s" s="28">
        <v>21</v>
      </c>
    </row>
    <row r="3" ht="22" customHeight="1">
      <c r="A3" s="24"/>
      <c r="B3" s="29">
        <v>10</v>
      </c>
      <c r="C3" s="29">
        <v>5.3</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G10"/>
  <sheetViews>
    <sheetView workbookViewId="0" showGridLines="0" defaultGridColor="1"/>
  </sheetViews>
  <sheetFormatPr defaultColWidth="9" defaultRowHeight="20.55" customHeight="1" outlineLevelRow="0" outlineLevelCol="0"/>
  <cols>
    <col min="1" max="1" width="21" style="39" customWidth="1"/>
    <col min="2" max="3" width="9" style="39" customWidth="1"/>
    <col min="4" max="4" hidden="1" width="9" style="39" customWidth="1"/>
    <col min="5" max="6" width="9" style="39" customWidth="1"/>
    <col min="7" max="7" hidden="1" width="9" style="39" customWidth="1"/>
    <col min="8" max="256" width="9" style="39" customWidth="1"/>
  </cols>
  <sheetData>
    <row r="1" ht="23.5" customHeight="1">
      <c r="A1" t="s" s="33">
        <v>7</v>
      </c>
      <c r="B1" t="s" s="33">
        <v>8</v>
      </c>
      <c r="C1" s="8"/>
      <c r="D1" s="9"/>
      <c r="E1" t="s" s="33">
        <v>9</v>
      </c>
      <c r="F1" s="8"/>
      <c r="G1" s="9"/>
    </row>
    <row r="2" ht="21.6" customHeight="1">
      <c r="A2" t="s" s="10">
        <v>10</v>
      </c>
      <c r="B2" s="11">
        <v>250</v>
      </c>
      <c r="C2" t="s" s="12">
        <v>11</v>
      </c>
      <c r="D2" t="s" s="12">
        <f>IF(C2="oz","ozm",IF(C2="tbsp","tbs",IF(C2="fl oz","oz",IF(C2="L","l",IF(C2="mL","ml",IF(C2="lb","lbm",IF(C2="----","F",C2)))))))</f>
        <v>11</v>
      </c>
      <c r="E2" s="13">
        <f>IF(AND(D2="F",G2="F"),B2,CONVERT(B2,D2,G2))*'Onion &amp; Pine - Sample Recipe'!$C$3/'Onion &amp; Pine - Sample Recipe'!$B$3</f>
        <v>132.5</v>
      </c>
      <c r="F2" t="s" s="12">
        <v>11</v>
      </c>
      <c r="G2" t="s" s="12">
        <f>IF(F2="oz","ozm",IF(F2="tbsp","tbs",IF(F2="fl oz","oz",IF(F2="L","l",IF(F2="mL","ml",IF(F2="lb","lbm",IF(F2="----","F",F2)))))))</f>
        <v>11</v>
      </c>
    </row>
    <row r="3" ht="21.25" customHeight="1">
      <c r="A3" t="s" s="14">
        <v>12</v>
      </c>
      <c r="B3" s="15">
        <v>130</v>
      </c>
      <c r="C3" t="s" s="16">
        <v>11</v>
      </c>
      <c r="D3" t="s" s="16">
        <f>IF(C3="oz","ozm",IF(C3="tbsp","tbs",IF(C3="fl oz","oz",IF(C3="L","l",IF(C3="mL","ml",IF(C3="lb","lbm",IF(C3="----","F",C3)))))))</f>
        <v>11</v>
      </c>
      <c r="E3" s="17">
        <f>IF(AND(D3="F",G3="F"),B3,CONVERT(B3,D3,G3))*'Onion &amp; Pine - Sample Recipe'!$C$3/'Onion &amp; Pine - Sample Recipe'!$B$3</f>
        <v>68.90000000000001</v>
      </c>
      <c r="F3" t="s" s="16">
        <v>11</v>
      </c>
      <c r="G3" t="s" s="16">
        <f>IF(F3="oz","ozm",IF(F3="tbsp","tbs",IF(F3="fl oz","oz",IF(F3="L","l",IF(F3="mL","ml",IF(F3="lb","lbm",IF(F3="----","F",F3)))))))</f>
        <v>11</v>
      </c>
    </row>
    <row r="4" ht="21.25" customHeight="1">
      <c r="A4" t="s" s="14">
        <v>28</v>
      </c>
      <c r="B4" s="15">
        <v>30</v>
      </c>
      <c r="C4" t="s" s="16">
        <v>11</v>
      </c>
      <c r="D4" t="s" s="16">
        <f>IF(C4="oz","ozm",IF(C4="tbsp","tbs",IF(C4="fl oz","oz",IF(C4="L","l",IF(C4="mL","ml",IF(C4="lb","lbm",IF(C4="----","F",C4)))))))</f>
        <v>11</v>
      </c>
      <c r="E4" s="17">
        <f>IF(AND(D4="F",G4="F"),B4,CONVERT(B4,D4,G4))*'Onion &amp; Pine - Sample Recipe'!$C$3/'Onion &amp; Pine - Sample Recipe'!$B$3</f>
        <v>15.9</v>
      </c>
      <c r="F4" t="s" s="16">
        <v>11</v>
      </c>
      <c r="G4" t="s" s="16">
        <f>IF(F4="oz","ozm",IF(F4="tbsp","tbs",IF(F4="fl oz","oz",IF(F4="L","l",IF(F4="mL","ml",IF(F4="lb","lbm",IF(F4="----","F",F4)))))))</f>
        <v>11</v>
      </c>
    </row>
    <row r="5" ht="21.25" customHeight="1">
      <c r="A5" t="s" s="14">
        <v>29</v>
      </c>
      <c r="B5" s="15">
        <v>160</v>
      </c>
      <c r="C5" t="s" s="16">
        <v>11</v>
      </c>
      <c r="D5" t="s" s="16">
        <f>IF(C5="oz","ozm",IF(C5="tbsp","tbs",IF(C5="fl oz","oz",IF(C5="L","l",IF(C5="mL","ml",IF(C5="lb","lbm",IF(C5="----","F",C5)))))))</f>
        <v>11</v>
      </c>
      <c r="E5" s="17">
        <f>IF(AND(D5="F",G5="F"),B5,CONVERT(B5,D5,G5))*'Onion &amp; Pine - Sample Recipe'!$C$3/'Onion &amp; Pine - Sample Recipe'!$B$3</f>
        <v>84.8</v>
      </c>
      <c r="F5" t="s" s="16">
        <v>11</v>
      </c>
      <c r="G5" t="s" s="16">
        <f>IF(F5="oz","ozm",IF(F5="tbsp","tbs",IF(F5="fl oz","oz",IF(F5="L","l",IF(F5="mL","ml",IF(F5="lb","lbm",IF(F5="----","F",F5)))))))</f>
        <v>11</v>
      </c>
    </row>
    <row r="6" ht="21.25" customHeight="1">
      <c r="A6" t="s" s="14">
        <v>47</v>
      </c>
      <c r="B6" s="15">
        <v>1</v>
      </c>
      <c r="C6" t="s" s="16">
        <v>17</v>
      </c>
      <c r="D6" t="s" s="16">
        <f>IF(C6="oz","ozm",IF(C6="tbsp","tbs",IF(C6="fl oz","oz",IF(C6="L","l",IF(C6="mL","ml",IF(C6="lb","lbm",IF(C6="----","F",C6)))))))</f>
        <v>17</v>
      </c>
      <c r="E6" s="17">
        <f>IF(AND(D6="F",G6="F"),B6,CONVERT(B6,D6,G6))*'Onion &amp; Pine - Sample Recipe'!$C$3/'Onion &amp; Pine - Sample Recipe'!$B$3</f>
        <v>0.53</v>
      </c>
      <c r="F6" t="s" s="16">
        <v>17</v>
      </c>
      <c r="G6" t="s" s="16">
        <f>IF(F6="oz","ozm",IF(F6="tbsp","tbs",IF(F6="fl oz","oz",IF(F6="L","l",IF(F6="mL","ml",IF(F6="lb","lbm",IF(F6="----","F",F6)))))))</f>
        <v>17</v>
      </c>
    </row>
    <row r="7" ht="21.25" customHeight="1">
      <c r="A7" t="s" s="14">
        <v>13</v>
      </c>
      <c r="B7" s="15">
        <v>120</v>
      </c>
      <c r="C7" t="s" s="16">
        <v>14</v>
      </c>
      <c r="D7" t="s" s="16">
        <f>IF(C7="oz","ozm",IF(C7="tbsp","tbs",IF(C7="fl oz","oz",IF(C7="L","l",IF(C7="mL","ml",IF(C7="lb","lbm",IF(C7="----","F",C7)))))))</f>
        <v>15</v>
      </c>
      <c r="E7" s="17">
        <f>IF(AND(D7="F",G7="F"),B7,CONVERT(B7,D7,G7))*'Onion &amp; Pine - Sample Recipe'!$C$3/'Onion &amp; Pine - Sample Recipe'!$B$3</f>
        <v>63.6</v>
      </c>
      <c r="F7" t="s" s="16">
        <v>14</v>
      </c>
      <c r="G7" t="s" s="16">
        <f>IF(F7="oz","ozm",IF(F7="tbsp","tbs",IF(F7="fl oz","oz",IF(F7="L","l",IF(F7="mL","ml",IF(F7="lb","lbm",IF(F7="----","F",F7)))))))</f>
        <v>15</v>
      </c>
    </row>
    <row r="8" ht="21.6" customHeight="1">
      <c r="A8" t="s" s="18">
        <v>16</v>
      </c>
      <c r="B8" s="19">
        <v>2</v>
      </c>
      <c r="C8" t="s" s="20">
        <v>17</v>
      </c>
      <c r="D8" t="s" s="16">
        <f>IF(C8="oz","ozm",IF(C8="tbsp","tbs",IF(C8="fl oz","oz",IF(C8="L","l",IF(C8="mL","ml",IF(C8="lb","lbm",IF(C8="----","F",C8)))))))</f>
        <v>17</v>
      </c>
      <c r="E8" s="21">
        <f>IF(AND(D8="F",G8="F"),B8,CONVERT(B8,D8,G8))*'Onion &amp; Pine - Sample Recipe'!$C$3/'Onion &amp; Pine - Sample Recipe'!$B$3</f>
        <v>0.3533333333333333</v>
      </c>
      <c r="F8" t="s" s="20">
        <v>31</v>
      </c>
      <c r="G8" t="s" s="16">
        <f>IF(F8="oz","ozm",IF(F8="tbsp","tbs",IF(F8="fl oz","oz",IF(F8="L","l",IF(F8="mL","ml",IF(F8="lb","lbm",IF(F8="----","F",F8)))))))</f>
        <v>32</v>
      </c>
    </row>
    <row r="9" ht="22" customHeight="1">
      <c r="A9" t="s" s="22">
        <v>18</v>
      </c>
      <c r="B9" s="23">
        <v>1</v>
      </c>
      <c r="C9" t="s" s="24">
        <v>17</v>
      </c>
      <c r="D9" t="s" s="20">
        <f>IF(C9="oz","ozm",IF(C9="tbsp","tbs",IF(C9="fl oz","oz",IF(C9="L","l",IF(C9="mL","ml",IF(C9="lb","lbm",IF(C9="----","F",C9)))))))</f>
        <v>17</v>
      </c>
      <c r="E9" s="26">
        <f>IF(AND(D9="F",G9="F"),B9,CONVERT(B9,D9,G9))*'Onion &amp; Pine - Sample Recipe'!$C$3/'Onion &amp; Pine - Sample Recipe'!$B$3</f>
        <v>0.53</v>
      </c>
      <c r="F9" t="s" s="24">
        <v>17</v>
      </c>
      <c r="G9" t="s" s="20">
        <f>IF(F9="oz","ozm",IF(F9="tbsp","tbs",IF(F9="fl oz","oz",IF(F9="L","l",IF(F9="mL","ml",IF(F9="lb","lbm",IF(F9="----","F",F9)))))))</f>
        <v>17</v>
      </c>
    </row>
    <row r="10" ht="22" customHeight="1">
      <c r="A10" s="24"/>
      <c r="B10" s="23"/>
      <c r="C10" s="24"/>
      <c r="D10" t="s" s="24">
        <f>IF(C10="oz","ozm",IF(C10="tbsp","tbs",IF(C10="fl oz","oz",IF(C10="L","l",IF(C10="mL","ml",IF(C10="lb","lbm",IF(C10="----","F",C10)))))))</f>
      </c>
      <c r="E10" s="26"/>
      <c r="F10" s="24"/>
      <c r="G10" t="s" s="24">
        <f>IF(F10="oz","ozm",IF(F10="tbsp","tbs",IF(F10="fl oz","oz",IF(F10="L","l",IF(F10="mL","ml",IF(F10="lb","lbm",IF(F10="----","F",F10)))))))</f>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13.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14.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40" customWidth="1"/>
    <col min="2" max="3" width="18" style="40" customWidth="1"/>
    <col min="4" max="256" width="21" style="40" customWidth="1"/>
  </cols>
  <sheetData>
    <row r="1" ht="28" customHeight="1">
      <c r="A1" t="s" s="31">
        <v>19</v>
      </c>
      <c r="B1" s="31"/>
      <c r="C1" s="31"/>
    </row>
    <row r="2" ht="19.5" customHeight="1">
      <c r="A2" s="28"/>
      <c r="B2" t="s" s="28">
        <v>26</v>
      </c>
      <c r="C2" t="s" s="28">
        <v>21</v>
      </c>
    </row>
    <row r="3" ht="22" customHeight="1">
      <c r="A3" s="24"/>
      <c r="B3" s="29">
        <v>10</v>
      </c>
      <c r="C3" s="29">
        <v>5.3</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G10"/>
  <sheetViews>
    <sheetView workbookViewId="0" showGridLines="0" defaultGridColor="1"/>
  </sheetViews>
  <sheetFormatPr defaultColWidth="9" defaultRowHeight="20.55" customHeight="1" outlineLevelRow="0" outlineLevelCol="0"/>
  <cols>
    <col min="1" max="1" width="21" style="41" customWidth="1"/>
    <col min="2" max="3" width="9" style="41" customWidth="1"/>
    <col min="4" max="4" hidden="1" width="9" style="41" customWidth="1"/>
    <col min="5" max="6" width="9" style="41" customWidth="1"/>
    <col min="7" max="7" hidden="1" width="9" style="41" customWidth="1"/>
    <col min="8" max="256" width="9" style="41" customWidth="1"/>
  </cols>
  <sheetData>
    <row r="1" ht="22.5" customHeight="1">
      <c r="A1" t="s" s="42">
        <v>7</v>
      </c>
      <c r="B1" t="s" s="42">
        <v>8</v>
      </c>
      <c r="C1" s="8"/>
      <c r="D1" s="9"/>
      <c r="E1" t="s" s="42">
        <v>9</v>
      </c>
      <c r="F1" s="8"/>
      <c r="G1" s="9"/>
    </row>
    <row r="2" ht="21.6" customHeight="1">
      <c r="A2" t="s" s="10">
        <v>10</v>
      </c>
      <c r="B2" s="11">
        <v>500</v>
      </c>
      <c r="C2" t="s" s="12">
        <v>11</v>
      </c>
      <c r="D2" t="s" s="12">
        <f>IF(C2="oz","ozm",IF(C2="tbsp","tbs",IF(C2="fl oz","oz",IF(C2="L","l",IF(C2="mL","ml",IF(C2="lb","lbm",IF(C2="----","F",C2)))))))</f>
        <v>11</v>
      </c>
      <c r="E2" s="13">
        <f>IF(AND(D2="F",G2="F"),B2,CONVERT(B2,D2,G2))*'Nayyé - Sample Recipe'!$C$3/'Nayyé - Sample Recipe'!$B$3</f>
        <v>265</v>
      </c>
      <c r="F2" t="s" s="12">
        <v>11</v>
      </c>
      <c r="G2" t="s" s="12">
        <f>IF(F2="oz","ozm",IF(F2="tbsp","tbs",IF(F2="fl oz","oz",IF(F2="L","l",IF(F2="mL","ml",IF(F2="lb","lbm",IF(F2="----","F",F2)))))))</f>
        <v>11</v>
      </c>
    </row>
    <row r="3" ht="21.25" customHeight="1">
      <c r="A3" t="s" s="14">
        <v>12</v>
      </c>
      <c r="B3" s="15">
        <v>60</v>
      </c>
      <c r="C3" t="s" s="16">
        <v>11</v>
      </c>
      <c r="D3" t="s" s="16">
        <f>IF(C3="oz","ozm",IF(C3="tbsp","tbs",IF(C3="fl oz","oz",IF(C3="L","l",IF(C3="mL","ml",IF(C3="lb","lbm",IF(C3="----","F",C3)))))))</f>
        <v>11</v>
      </c>
      <c r="E3" s="17">
        <f>IF(AND(D3="F",G3="F"),B3,CONVERT(B3,D3,G3))*'Nayyé - Sample Recipe'!$C$3/'Nayyé - Sample Recipe'!$B$3</f>
        <v>31.8</v>
      </c>
      <c r="F3" t="s" s="16">
        <v>11</v>
      </c>
      <c r="G3" t="s" s="16">
        <f>IF(F3="oz","ozm",IF(F3="tbsp","tbs",IF(F3="fl oz","oz",IF(F3="L","l",IF(F3="mL","ml",IF(F3="lb","lbm",IF(F3="----","F",F3)))))))</f>
        <v>11</v>
      </c>
    </row>
    <row r="4" ht="21.6" customHeight="1">
      <c r="A4" t="s" s="18">
        <v>16</v>
      </c>
      <c r="B4" s="19">
        <v>2</v>
      </c>
      <c r="C4" t="s" s="20">
        <v>17</v>
      </c>
      <c r="D4" t="s" s="16">
        <f>IF(C4="oz","ozm",IF(C4="tbsp","tbs",IF(C4="fl oz","oz",IF(C4="L","l",IF(C4="mL","ml",IF(C4="lb","lbm",IF(C4="----","F",C4)))))))</f>
        <v>17</v>
      </c>
      <c r="E4" s="21">
        <f>IF(AND(D4="F",G4="F"),B4,CONVERT(B4,D4,G4))*'Nayyé - Sample Recipe'!$C$3/'Nayyé - Sample Recipe'!$B$3</f>
        <v>0.3533333333333333</v>
      </c>
      <c r="F4" t="s" s="20">
        <v>31</v>
      </c>
      <c r="G4" t="s" s="16">
        <f>IF(F4="oz","ozm",IF(F4="tbsp","tbs",IF(F4="fl oz","oz",IF(F4="L","l",IF(F4="mL","ml",IF(F4="lb","lbm",IF(F4="----","F",F4)))))))</f>
        <v>32</v>
      </c>
    </row>
    <row r="5" ht="22" customHeight="1">
      <c r="A5" t="s" s="22">
        <v>52</v>
      </c>
      <c r="B5" s="23">
        <v>100</v>
      </c>
      <c r="C5" t="s" s="24">
        <v>11</v>
      </c>
      <c r="D5" t="s" s="16">
        <f>IF(C5="oz","ozm",IF(C5="tbsp","tbs",IF(C5="fl oz","oz",IF(C5="L","l",IF(C5="mL","ml",IF(C5="lb","lbm",IF(C5="----","F",C5)))))))</f>
        <v>11</v>
      </c>
      <c r="E5" s="26">
        <v>50</v>
      </c>
      <c r="F5" t="s" s="24">
        <v>11</v>
      </c>
      <c r="G5" t="s" s="16">
        <f>IF(F5="oz","ozm",IF(F5="tbsp","tbs",IF(F5="fl oz","oz",IF(F5="L","l",IF(F5="mL","ml",IF(F5="lb","lbm",IF(F5="----","F",F5)))))))</f>
        <v>11</v>
      </c>
    </row>
    <row r="6" ht="22" customHeight="1">
      <c r="A6" t="s" s="22">
        <v>53</v>
      </c>
      <c r="B6" s="23">
        <v>100</v>
      </c>
      <c r="C6" t="s" s="24">
        <v>11</v>
      </c>
      <c r="D6" t="s" s="16">
        <f>IF(C6="oz","ozm",IF(C6="tbsp","tbs",IF(C6="fl oz","oz",IF(C6="L","l",IF(C6="mL","ml",IF(C6="lb","lbm",IF(C6="----","F",C6)))))))</f>
        <v>11</v>
      </c>
      <c r="E6" s="26">
        <f>IF(AND(D6="F",G6="F"),B6,CONVERT(B6,D6,G6))*'Nayyé - Sample Recipe'!$C$3/'Nayyé - Sample Recipe'!$B$3</f>
        <v>53</v>
      </c>
      <c r="F6" t="s" s="24">
        <v>11</v>
      </c>
      <c r="G6" t="s" s="16">
        <f>IF(F6="oz","ozm",IF(F6="tbsp","tbs",IF(F6="fl oz","oz",IF(F6="L","l",IF(F6="mL","ml",IF(F6="lb","lbm",IF(F6="----","F",F6)))))))</f>
        <v>11</v>
      </c>
    </row>
    <row r="7" ht="21.6" customHeight="1">
      <c r="A7" s="12"/>
      <c r="B7" s="11"/>
      <c r="C7" s="12"/>
      <c r="D7" t="s" s="16">
        <f>IF(C7="oz","ozm",IF(C7="tbsp","tbs",IF(C7="fl oz","oz",IF(C7="L","l",IF(C7="mL","ml",IF(C7="lb","lbm",IF(C7="----","F",C7)))))))</f>
      </c>
      <c r="E7" s="13"/>
      <c r="F7" s="12"/>
      <c r="G7" t="s" s="16">
        <f>IF(F7="oz","ozm",IF(F7="tbsp","tbs",IF(F7="fl oz","oz",IF(F7="L","l",IF(F7="mL","ml",IF(F7="lb","lbm",IF(F7="----","F",F7)))))))</f>
      </c>
    </row>
    <row r="8" ht="21.25" customHeight="1">
      <c r="A8" s="16"/>
      <c r="B8" s="15"/>
      <c r="C8" s="43"/>
      <c r="D8" s="44">
        <f>IF(C8="oz","ozm",IF(C8="tbsp","tbs",IF(C8="fl oz","oz",IF(C8="L","l",IF(C8="mL","ml",IF(C8="lb","lbm",IF(C8="----","F",C8)))))))</f>
        <v>0</v>
      </c>
      <c r="E8" s="17"/>
      <c r="F8" s="43"/>
      <c r="G8" s="44">
        <f>IF(F8="oz","ozm",IF(F8="tbsp","tbs",IF(F8="fl oz","oz",IF(F8="L","l",IF(F8="mL","ml",IF(F8="lb","lbm",IF(F8="----","F",F8)))))))</f>
        <v>0</v>
      </c>
    </row>
    <row r="9" ht="21.6" customHeight="1">
      <c r="A9" s="20"/>
      <c r="B9" s="19"/>
      <c r="C9" s="20"/>
      <c r="D9" t="s" s="20">
        <f>IF(C9="oz","ozm",IF(C9="tbsp","tbs",IF(C9="fl oz","oz",IF(C9="L","l",IF(C9="mL","ml",IF(C9="lb","lbm",IF(C9="----","F",C9)))))))</f>
      </c>
      <c r="E9" s="21"/>
      <c r="F9" s="45"/>
      <c r="G9" s="46">
        <f>IF(F9="oz","ozm",IF(F9="tbsp","tbs",IF(F9="fl oz","oz",IF(F9="L","l",IF(F9="mL","ml",IF(F9="lb","lbm",IF(F9="----","F",F9)))))))</f>
        <v>0</v>
      </c>
    </row>
    <row r="10" ht="22" customHeight="1">
      <c r="A10" s="24"/>
      <c r="B10" s="23"/>
      <c r="C10" s="24"/>
      <c r="D10" t="s" s="24">
        <f>IF(C10="oz","ozm",IF(C10="tbsp","tbs",IF(C10="fl oz","oz",IF(C10="L","l",IF(C10="mL","ml",IF(C10="lb","lbm",IF(C10="----","F",C10)))))))</f>
      </c>
      <c r="E10" s="26"/>
      <c r="F10" s="24"/>
      <c r="G10" t="s" s="24">
        <f>IF(F10="oz","ozm",IF(F10="tbsp","tbs",IF(F10="fl oz","oz",IF(F10="L","l",IF(F10="mL","ml",IF(F10="lb","lbm",IF(F10="----","F",F10)))))))</f>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16.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17.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47" customWidth="1"/>
    <col min="2" max="3" width="18" style="47" customWidth="1"/>
    <col min="4" max="256" width="21" style="47" customWidth="1"/>
  </cols>
  <sheetData>
    <row r="1" ht="28" customHeight="1">
      <c r="A1" t="s" s="31">
        <v>19</v>
      </c>
      <c r="B1" s="31"/>
      <c r="C1" s="31"/>
    </row>
    <row r="2" ht="19.5" customHeight="1">
      <c r="A2" s="28"/>
      <c r="B2" t="s" s="28">
        <v>26</v>
      </c>
      <c r="C2" t="s" s="28">
        <v>21</v>
      </c>
    </row>
    <row r="3" ht="22" customHeight="1">
      <c r="A3" s="24"/>
      <c r="B3" s="29">
        <v>10</v>
      </c>
      <c r="C3" s="29">
        <v>5.3</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G10"/>
  <sheetViews>
    <sheetView workbookViewId="0" showGridLines="0" defaultGridColor="1"/>
  </sheetViews>
  <sheetFormatPr defaultColWidth="9" defaultRowHeight="20.55" customHeight="1" outlineLevelRow="0" outlineLevelCol="0"/>
  <cols>
    <col min="1" max="1" width="21" style="48" customWidth="1"/>
    <col min="2" max="3" width="9" style="48" customWidth="1"/>
    <col min="4" max="4" hidden="1" width="9" style="48" customWidth="1"/>
    <col min="5" max="6" width="9" style="48" customWidth="1"/>
    <col min="7" max="7" hidden="1" width="9" style="48" customWidth="1"/>
    <col min="8" max="256" width="9" style="48" customWidth="1"/>
  </cols>
  <sheetData>
    <row r="1" ht="22.5" customHeight="1">
      <c r="A1" t="s" s="42">
        <v>7</v>
      </c>
      <c r="B1" t="s" s="42">
        <v>8</v>
      </c>
      <c r="C1" s="8"/>
      <c r="D1" s="9"/>
      <c r="E1" t="s" s="42">
        <v>9</v>
      </c>
      <c r="F1" s="8"/>
      <c r="G1" s="9"/>
    </row>
    <row r="2" ht="21.6" customHeight="1">
      <c r="A2" t="s" s="10">
        <v>58</v>
      </c>
      <c r="B2" s="11">
        <v>0.5</v>
      </c>
      <c r="C2" t="s" s="12">
        <v>59</v>
      </c>
      <c r="D2" t="s" s="12">
        <f>IF(C2="oz","ozm",IF(C2="tbsp","tbs",IF(C2="fl oz","oz",IF(C2="L","l",IF(C2="mL","ml",IF(C2="lb","lbm",IF(C2="----","F",C2)))))))</f>
        <v>59</v>
      </c>
      <c r="E2" s="13">
        <f>IF(AND(D2="F",G2="F"),B2,CONVERT(B2,D2,G2))*'Hommos Kebbé - Sample Recipe'!$C$3/'Hommos Kebbé - Sample Recipe'!$B$3</f>
        <v>0.265</v>
      </c>
      <c r="F2" t="s" s="12">
        <v>59</v>
      </c>
      <c r="G2" t="s" s="12">
        <f>IF(F2="oz","ozm",IF(F2="tbsp","tbs",IF(F2="fl oz","oz",IF(F2="L","l",IF(F2="mL","ml",IF(F2="lb","lbm",IF(F2="----","F",F2)))))))</f>
        <v>59</v>
      </c>
    </row>
    <row r="3" ht="21.25" customHeight="1">
      <c r="A3" t="s" s="14">
        <v>12</v>
      </c>
      <c r="B3" s="15">
        <v>0.75</v>
      </c>
      <c r="C3" t="s" s="16">
        <v>59</v>
      </c>
      <c r="D3" t="s" s="16">
        <f>IF(C3="oz","ozm",IF(C3="tbsp","tbs",IF(C3="fl oz","oz",IF(C3="L","l",IF(C3="mL","ml",IF(C3="lb","lbm",IF(C3="----","F",C3)))))))</f>
        <v>59</v>
      </c>
      <c r="E3" s="17">
        <f>IF(AND(D3="F",G3="F"),B3,CONVERT(B3,D3,G3))*'Hommos Kebbé - Sample Recipe'!$C$3/'Hommos Kebbé - Sample Recipe'!$B$3</f>
        <v>0.3974999999999999</v>
      </c>
      <c r="F3" t="s" s="16">
        <v>59</v>
      </c>
      <c r="G3" t="s" s="16">
        <f>IF(F3="oz","ozm",IF(F3="tbsp","tbs",IF(F3="fl oz","oz",IF(F3="L","l",IF(F3="mL","ml",IF(F3="lb","lbm",IF(F3="----","F",F3)))))))</f>
        <v>59</v>
      </c>
    </row>
    <row r="4" ht="21.25" customHeight="1">
      <c r="A4" t="s" s="14">
        <v>60</v>
      </c>
      <c r="B4" s="15">
        <v>0.5</v>
      </c>
      <c r="C4" t="s" s="16">
        <v>59</v>
      </c>
      <c r="D4" t="s" s="16">
        <f>IF(C4="oz","ozm",IF(C4="tbsp","tbs",IF(C4="fl oz","oz",IF(C4="L","l",IF(C4="mL","ml",IF(C4="lb","lbm",IF(C4="----","F",C4)))))))</f>
        <v>59</v>
      </c>
      <c r="E4" s="17">
        <f>IF(AND(D4="F",G4="F"),B4,CONVERT(B4,D4,G4))*'Hommos Kebbé - Sample Recipe'!$C$3/'Hommos Kebbé - Sample Recipe'!$B$3</f>
        <v>0.265</v>
      </c>
      <c r="F4" t="s" s="16">
        <v>59</v>
      </c>
      <c r="G4" t="s" s="16">
        <f>IF(F4="oz","ozm",IF(F4="tbsp","tbs",IF(F4="fl oz","oz",IF(F4="L","l",IF(F4="mL","ml",IF(F4="lb","lbm",IF(F4="----","F",F4)))))))</f>
        <v>59</v>
      </c>
    </row>
    <row r="5" ht="21.25" customHeight="1">
      <c r="A5" t="s" s="14">
        <v>29</v>
      </c>
      <c r="B5" s="15">
        <v>100</v>
      </c>
      <c r="C5" t="s" s="16">
        <v>11</v>
      </c>
      <c r="D5" t="s" s="16">
        <f>IF(C5="oz","ozm",IF(C5="tbsp","tbs",IF(C5="fl oz","oz",IF(C5="L","l",IF(C5="mL","ml",IF(C5="lb","lbm",IF(C5="----","F",C5)))))))</f>
        <v>11</v>
      </c>
      <c r="E5" s="17">
        <f>IF(AND(D5="F",G5="F"),B5,CONVERT(B5,D5,G5))*'Hommos Kebbé - Sample Recipe'!$C$3/'Hommos Kebbé - Sample Recipe'!$B$3</f>
        <v>53</v>
      </c>
      <c r="F5" t="s" s="16">
        <v>11</v>
      </c>
      <c r="G5" t="s" s="16">
        <f>IF(F5="oz","ozm",IF(F5="tbsp","tbs",IF(F5="fl oz","oz",IF(F5="L","l",IF(F5="mL","ml",IF(F5="lb","lbm",IF(F5="----","F",F5)))))))</f>
        <v>11</v>
      </c>
    </row>
    <row r="6" ht="21.25" customHeight="1">
      <c r="A6" t="s" s="14">
        <v>61</v>
      </c>
      <c r="B6" s="15">
        <v>1</v>
      </c>
      <c r="C6" t="s" s="16">
        <v>31</v>
      </c>
      <c r="D6" t="s" s="16">
        <f>IF(C6="oz","ozm",IF(C6="tbsp","tbs",IF(C6="fl oz","oz",IF(C6="L","l",IF(C6="mL","ml",IF(C6="lb","lbm",IF(C6="----","F",C6)))))))</f>
        <v>32</v>
      </c>
      <c r="E6" s="17">
        <f>IF(AND(D6="F",G6="F"),B6,CONVERT(B6,D6,G6))*'Hommos Kebbé - Sample Recipe'!$C$3/'Hommos Kebbé - Sample Recipe'!$B$3</f>
        <v>0.53</v>
      </c>
      <c r="F6" t="s" s="16">
        <v>31</v>
      </c>
      <c r="G6" t="s" s="16">
        <f>IF(F6="oz","ozm",IF(F6="tbsp","tbs",IF(F6="fl oz","oz",IF(F6="L","l",IF(F6="mL","ml",IF(F6="lb","lbm",IF(F6="----","F",F6)))))))</f>
        <v>32</v>
      </c>
    </row>
    <row r="7" ht="21.25" customHeight="1">
      <c r="A7" t="s" s="14">
        <v>13</v>
      </c>
      <c r="B7" s="15">
        <v>120</v>
      </c>
      <c r="C7" t="s" s="16">
        <v>14</v>
      </c>
      <c r="D7" t="s" s="16">
        <f>IF(C7="oz","ozm",IF(C7="tbsp","tbs",IF(C7="fl oz","oz",IF(C7="L","l",IF(C7="mL","ml",IF(C7="lb","lbm",IF(C7="----","F",C7)))))))</f>
        <v>15</v>
      </c>
      <c r="E7" s="17">
        <f>IF(AND(D7="F",G7="F"),B7,CONVERT(B7,D7,G7))*'Hommos Kebbé - Sample Recipe'!$C$3/'Hommos Kebbé - Sample Recipe'!$B$3</f>
        <v>63.6</v>
      </c>
      <c r="F7" t="s" s="16">
        <v>14</v>
      </c>
      <c r="G7" t="s" s="16">
        <f>IF(F7="oz","ozm",IF(F7="tbsp","tbs",IF(F7="fl oz","oz",IF(F7="L","l",IF(F7="mL","ml",IF(F7="lb","lbm",IF(F7="----","F",F7)))))))</f>
        <v>15</v>
      </c>
    </row>
    <row r="8" ht="21.25" customHeight="1">
      <c r="A8" t="s" s="14">
        <v>62</v>
      </c>
      <c r="B8" s="15">
        <v>1</v>
      </c>
      <c r="C8" t="s" s="16">
        <v>31</v>
      </c>
      <c r="D8" t="s" s="16">
        <f>IF(C8="oz","ozm",IF(C8="tbsp","tbs",IF(C8="fl oz","oz",IF(C8="L","l",IF(C8="mL","ml",IF(C8="lb","lbm",IF(C8="----","F",C8)))))))</f>
        <v>32</v>
      </c>
      <c r="E8" s="17">
        <f>IF(AND(D8="F",G8="F"),B8,CONVERT(B8,D8,G8))*'Hommos Kebbé - Sample Recipe'!$C$3/'Hommos Kebbé - Sample Recipe'!$B$3</f>
        <v>0.53</v>
      </c>
      <c r="F8" t="s" s="16">
        <v>31</v>
      </c>
      <c r="G8" t="s" s="16">
        <f>IF(F8="oz","ozm",IF(F8="tbsp","tbs",IF(F8="fl oz","oz",IF(F8="L","l",IF(F8="mL","ml",IF(F8="lb","lbm",IF(F8="----","F",F8)))))))</f>
        <v>32</v>
      </c>
    </row>
    <row r="9" ht="21.6" customHeight="1">
      <c r="A9" t="s" s="18">
        <v>16</v>
      </c>
      <c r="B9" s="19">
        <v>1</v>
      </c>
      <c r="C9" t="s" s="20">
        <v>31</v>
      </c>
      <c r="D9" t="s" s="20">
        <f>IF(C9="oz","ozm",IF(C9="tbsp","tbs",IF(C9="fl oz","oz",IF(C9="L","l",IF(C9="mL","ml",IF(C9="lb","lbm",IF(C9="----","F",C9)))))))</f>
        <v>32</v>
      </c>
      <c r="E9" s="21">
        <f>IF(AND(D9="F",G9="F"),B9,CONVERT(B9,D9,G9))*'Hommos Kebbé - Sample Recipe'!$C$3/'Hommos Kebbé - Sample Recipe'!$B$3</f>
        <v>0.53</v>
      </c>
      <c r="F9" t="s" s="20">
        <v>31</v>
      </c>
      <c r="G9" t="s" s="20">
        <f>IF(F9="oz","ozm",IF(F9="tbsp","tbs",IF(F9="fl oz","oz",IF(F9="L","l",IF(F9="mL","ml",IF(F9="lb","lbm",IF(F9="----","F",F9)))))))</f>
        <v>32</v>
      </c>
    </row>
    <row r="10" ht="22" customHeight="1">
      <c r="A10" t="s" s="22">
        <v>41</v>
      </c>
      <c r="B10" s="23">
        <v>1</v>
      </c>
      <c r="C10" t="s" s="24">
        <v>17</v>
      </c>
      <c r="D10" t="s" s="24">
        <f>IF(C10="oz","ozm",IF(C10="tbsp","tbs",IF(C10="fl oz","oz",IF(C10="L","l",IF(C10="mL","ml",IF(C10="lb","lbm",IF(C10="----","F",C10)))))))</f>
        <v>17</v>
      </c>
      <c r="E10" s="26">
        <f>IF(AND(D10="F",G10="F"),B10,CONVERT(B10,D10,G10))*'Hommos Kebbé - Sample Recipe'!$C$3/'Hommos Kebbé - Sample Recipe'!$B$3</f>
        <v>0.53</v>
      </c>
      <c r="F10" t="s" s="24">
        <v>17</v>
      </c>
      <c r="G10" t="s" s="24">
        <f>IF(F10="oz","ozm",IF(F10="tbsp","tbs",IF(F10="fl oz","oz",IF(F10="L","l",IF(F10="mL","ml",IF(F10="lb","lbm",IF(F10="----","F",F10)))))))</f>
        <v>17</v>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19.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20.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49" customWidth="1"/>
    <col min="2" max="3" width="18" style="49" customWidth="1"/>
    <col min="4" max="256" width="21" style="49" customWidth="1"/>
  </cols>
  <sheetData>
    <row r="1" ht="28" customHeight="1">
      <c r="A1" t="s" s="31">
        <v>19</v>
      </c>
      <c r="B1" s="31"/>
      <c r="C1" s="31"/>
    </row>
    <row r="2" ht="19.5" customHeight="1">
      <c r="A2" s="28"/>
      <c r="B2" t="s" s="28">
        <v>26</v>
      </c>
      <c r="C2" t="s" s="28">
        <v>21</v>
      </c>
    </row>
    <row r="3" ht="22" customHeight="1">
      <c r="A3" s="24"/>
      <c r="B3" s="29">
        <v>10</v>
      </c>
      <c r="C3" s="29">
        <v>5.3</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G14"/>
  <sheetViews>
    <sheetView workbookViewId="0" showGridLines="0" defaultGridColor="1"/>
  </sheetViews>
  <sheetFormatPr defaultColWidth="9" defaultRowHeight="20.55" customHeight="1" outlineLevelRow="0" outlineLevelCol="0"/>
  <cols>
    <col min="1" max="1" width="21" style="50" customWidth="1"/>
    <col min="2" max="3" width="9" style="50" customWidth="1"/>
    <col min="4" max="4" hidden="1" width="9" style="50" customWidth="1"/>
    <col min="5" max="6" width="9" style="50" customWidth="1"/>
    <col min="7" max="7" hidden="1" width="9" style="50" customWidth="1"/>
    <col min="8" max="256" width="9" style="50" customWidth="1"/>
  </cols>
  <sheetData>
    <row r="1" ht="22.5" customHeight="1">
      <c r="A1" t="s" s="42">
        <v>7</v>
      </c>
      <c r="B1" t="s" s="42">
        <v>8</v>
      </c>
      <c r="C1" s="8"/>
      <c r="D1" s="9"/>
      <c r="E1" t="s" s="42">
        <v>9</v>
      </c>
      <c r="F1" s="8"/>
      <c r="G1" s="9"/>
    </row>
    <row r="2" ht="21.6" customHeight="1">
      <c r="A2" t="s" s="10">
        <v>58</v>
      </c>
      <c r="B2" s="11">
        <v>0.5</v>
      </c>
      <c r="C2" t="s" s="12">
        <v>59</v>
      </c>
      <c r="D2" t="s" s="12">
        <f>IF(C2="oz","ozm",IF(C2="tbsp","tbs",IF(C2="fl oz","oz",IF(C2="L","l",IF(C2="mL","ml",IF(C2="lb","lbm",IF(C2="----","F",C2)))))))</f>
        <v>59</v>
      </c>
      <c r="E2" s="13">
        <f>IF(AND(D2="F",G2="F"),B2,CONVERT(B2,D2,G2))*'Bou Emné - Sample Recipe'!$C$3/'Bou Emné - Sample Recipe'!$B$3</f>
        <v>0.265</v>
      </c>
      <c r="F2" t="s" s="12">
        <v>59</v>
      </c>
      <c r="G2" t="s" s="12">
        <f>IF(F2="oz","ozm",IF(F2="tbsp","tbs",IF(F2="fl oz","oz",IF(F2="L","l",IF(F2="mL","ml",IF(F2="lb","lbm",IF(F2="----","F",F2)))))))</f>
        <v>59</v>
      </c>
    </row>
    <row r="3" ht="21.25" customHeight="1">
      <c r="A3" t="s" s="14">
        <v>12</v>
      </c>
      <c r="B3" s="15">
        <v>1</v>
      </c>
      <c r="C3" t="s" s="16">
        <v>59</v>
      </c>
      <c r="D3" t="s" s="16">
        <f>IF(C3="oz","ozm",IF(C3="tbsp","tbs",IF(C3="fl oz","oz",IF(C3="L","l",IF(C3="mL","ml",IF(C3="lb","lbm",IF(C3="----","F",C3)))))))</f>
        <v>59</v>
      </c>
      <c r="E3" s="17">
        <f>IF(AND(D3="F",G3="F"),B3,CONVERT(B3,D3,G3))*'Bou Emné - Sample Recipe'!$C$3/'Bou Emné - Sample Recipe'!$B$3</f>
        <v>0.53</v>
      </c>
      <c r="F3" t="s" s="16">
        <v>59</v>
      </c>
      <c r="G3" t="s" s="16">
        <f>IF(F3="oz","ozm",IF(F3="tbsp","tbs",IF(F3="fl oz","oz",IF(F3="L","l",IF(F3="mL","ml",IF(F3="lb","lbm",IF(F3="----","F",F3)))))))</f>
        <v>59</v>
      </c>
    </row>
    <row r="4" ht="21.25" customHeight="1">
      <c r="A4" t="s" s="14">
        <v>60</v>
      </c>
      <c r="B4" s="15">
        <v>0.75</v>
      </c>
      <c r="C4" t="s" s="16">
        <v>59</v>
      </c>
      <c r="D4" t="s" s="16">
        <f>IF(C4="oz","ozm",IF(C4="tbsp","tbs",IF(C4="fl oz","oz",IF(C4="L","l",IF(C4="mL","ml",IF(C4="lb","lbm",IF(C4="----","F",C4)))))))</f>
        <v>59</v>
      </c>
      <c r="E4" s="17">
        <f>IF(AND(D4="F",G4="F"),B4,CONVERT(B4,D4,G4))*'Bou Emné - Sample Recipe'!$C$3/'Bou Emné - Sample Recipe'!$B$3</f>
        <v>0.3974999999999999</v>
      </c>
      <c r="F4" t="s" s="16">
        <v>59</v>
      </c>
      <c r="G4" t="s" s="16">
        <f>IF(F4="oz","ozm",IF(F4="tbsp","tbs",IF(F4="fl oz","oz",IF(F4="L","l",IF(F4="mL","ml",IF(F4="lb","lbm",IF(F4="----","F",F4)))))))</f>
        <v>59</v>
      </c>
    </row>
    <row r="5" ht="21.25" customHeight="1">
      <c r="A5" t="s" s="14">
        <v>29</v>
      </c>
      <c r="B5" s="15">
        <v>100</v>
      </c>
      <c r="C5" t="s" s="16">
        <v>11</v>
      </c>
      <c r="D5" t="s" s="16">
        <f>IF(C5="oz","ozm",IF(C5="tbsp","tbs",IF(C5="fl oz","oz",IF(C5="L","l",IF(C5="mL","ml",IF(C5="lb","lbm",IF(C5="----","F",C5)))))))</f>
        <v>11</v>
      </c>
      <c r="E5" s="17">
        <f>IF(AND(D5="F",G5="F"),B5,CONVERT(B5,D5,G5))*'Bou Emné - Sample Recipe'!$C$3/'Bou Emné - Sample Recipe'!$B$3</f>
        <v>53</v>
      </c>
      <c r="F5" t="s" s="16">
        <v>11</v>
      </c>
      <c r="G5" t="s" s="16">
        <f>IF(F5="oz","ozm",IF(F5="tbsp","tbs",IF(F5="fl oz","oz",IF(F5="L","l",IF(F5="mL","ml",IF(F5="lb","lbm",IF(F5="----","F",F5)))))))</f>
        <v>11</v>
      </c>
    </row>
    <row r="6" ht="21.25" customHeight="1">
      <c r="A6" t="s" s="14">
        <v>61</v>
      </c>
      <c r="B6" s="15">
        <v>1</v>
      </c>
      <c r="C6" t="s" s="16">
        <v>31</v>
      </c>
      <c r="D6" t="s" s="16">
        <f>IF(C6="oz","ozm",IF(C6="tbsp","tbs",IF(C6="fl oz","oz",IF(C6="L","l",IF(C6="mL","ml",IF(C6="lb","lbm",IF(C6="----","F",C6)))))))</f>
        <v>32</v>
      </c>
      <c r="E6" s="17">
        <f>IF(AND(D6="F",G6="F"),B6,CONVERT(B6,D6,G6))*'Bou Emné - Sample Recipe'!$C$3/'Bou Emné - Sample Recipe'!$B$3</f>
        <v>0.53</v>
      </c>
      <c r="F6" t="s" s="16">
        <v>31</v>
      </c>
      <c r="G6" t="s" s="16">
        <f>IF(F6="oz","ozm",IF(F6="tbsp","tbs",IF(F6="fl oz","oz",IF(F6="L","l",IF(F6="mL","ml",IF(F6="lb","lbm",IF(F6="----","F",F6)))))))</f>
        <v>32</v>
      </c>
    </row>
    <row r="7" ht="21.25" customHeight="1">
      <c r="A7" t="s" s="14">
        <v>13</v>
      </c>
      <c r="B7" s="15">
        <v>120</v>
      </c>
      <c r="C7" t="s" s="16">
        <v>14</v>
      </c>
      <c r="D7" t="s" s="16">
        <f>IF(C7="oz","ozm",IF(C7="tbsp","tbs",IF(C7="fl oz","oz",IF(C7="L","l",IF(C7="mL","ml",IF(C7="lb","lbm",IF(C7="----","F",C7)))))))</f>
        <v>15</v>
      </c>
      <c r="E7" s="17">
        <f>IF(AND(D7="F",G7="F"),B7,CONVERT(B7,D7,G7))*'Bou Emné - Sample Recipe'!$C$3/'Bou Emné - Sample Recipe'!$B$3</f>
        <v>63.6</v>
      </c>
      <c r="F7" t="s" s="16">
        <v>14</v>
      </c>
      <c r="G7" t="s" s="16">
        <f>IF(F7="oz","ozm",IF(F7="tbsp","tbs",IF(F7="fl oz","oz",IF(F7="L","l",IF(F7="mL","ml",IF(F7="lb","lbm",IF(F7="----","F",F7)))))))</f>
        <v>15</v>
      </c>
    </row>
    <row r="8" ht="34.25" customHeight="1">
      <c r="A8" t="s" s="14">
        <v>33</v>
      </c>
      <c r="B8" s="15">
        <v>1</v>
      </c>
      <c r="C8" t="s" s="16">
        <v>31</v>
      </c>
      <c r="D8" t="s" s="16">
        <f>IF(C8="oz","ozm",IF(C8="tbsp","tbs",IF(C8="fl oz","oz",IF(C8="L","l",IF(C8="mL","ml",IF(C8="lb","lbm",IF(C8="----","F",C8)))))))</f>
        <v>32</v>
      </c>
      <c r="E8" s="17">
        <f>IF(AND(D8="F",G8="F"),B8,CONVERT(B8,D8,G8))*'Bou Emné - Sample Recipe'!$C$3/'Bou Emné - Sample Recipe'!$B$3</f>
        <v>0.53</v>
      </c>
      <c r="F8" t="s" s="16">
        <v>31</v>
      </c>
      <c r="G8" t="s" s="16">
        <f>IF(F8="oz","ozm",IF(F8="tbsp","tbs",IF(F8="fl oz","oz",IF(F8="L","l",IF(F8="mL","ml",IF(F8="lb","lbm",IF(F8="----","F",F8)))))))</f>
        <v>32</v>
      </c>
    </row>
    <row r="9" ht="21.6" customHeight="1">
      <c r="A9" t="s" s="18">
        <v>67</v>
      </c>
      <c r="B9" s="19">
        <v>40</v>
      </c>
      <c r="C9" t="s" s="20">
        <v>11</v>
      </c>
      <c r="D9" t="s" s="20">
        <f>IF(C9="oz","ozm",IF(C9="tbsp","tbs",IF(C9="fl oz","oz",IF(C9="L","l",IF(C9="mL","ml",IF(C9="lb","lbm",IF(C9="----","F",C9)))))))</f>
        <v>11</v>
      </c>
      <c r="E9" s="21">
        <v>25</v>
      </c>
      <c r="F9" t="s" s="20">
        <v>11</v>
      </c>
      <c r="G9" t="s" s="20">
        <f>IF(F9="oz","ozm",IF(F9="tbsp","tbs",IF(F9="fl oz","oz",IF(F9="L","l",IF(F9="mL","ml",IF(F9="lb","lbm",IF(F9="----","F",F9)))))))</f>
        <v>11</v>
      </c>
    </row>
    <row r="10" ht="22" customHeight="1">
      <c r="A10" t="s" s="22">
        <v>16</v>
      </c>
      <c r="B10" s="23">
        <v>1</v>
      </c>
      <c r="C10" t="s" s="24">
        <v>31</v>
      </c>
      <c r="D10" t="s" s="24">
        <f>IF(C10="oz","ozm",IF(C10="tbsp","tbs",IF(C10="fl oz","oz",IF(C10="L","l",IF(C10="mL","ml",IF(C10="lb","lbm",IF(C10="----","F",C10)))))))</f>
        <v>32</v>
      </c>
      <c r="E10" s="26">
        <f>IF(AND(D10="F",G10="F"),B10,CONVERT(B10,D10,G10))*'Bou Emné - Sample Recipe'!$C$3/'Bou Emné - Sample Recipe'!$B$3</f>
        <v>0.53</v>
      </c>
      <c r="F10" t="s" s="24">
        <v>31</v>
      </c>
      <c r="G10" t="s" s="24">
        <f>IF(F10="oz","ozm",IF(F10="tbsp","tbs",IF(F10="fl oz","oz",IF(F10="L","l",IF(F10="mL","ml",IF(F10="lb","lbm",IF(F10="----","F",F10)))))))</f>
        <v>32</v>
      </c>
    </row>
    <row r="11" ht="22" customHeight="1">
      <c r="A11" t="s" s="22">
        <v>41</v>
      </c>
      <c r="B11" s="23">
        <v>1</v>
      </c>
      <c r="C11" t="s" s="24">
        <v>17</v>
      </c>
      <c r="D11" t="s" s="24">
        <f>IF(C11="oz","ozm",IF(C11="tbsp","tbs",IF(C11="fl oz","oz",IF(C11="L","l",IF(C11="mL","ml",IF(C11="lb","lbm",IF(C11="----","F",C11)))))))</f>
        <v>17</v>
      </c>
      <c r="E11" s="26">
        <f>IF(AND(D11="F",G11="F"),B11,CONVERT(B11,D11,G11))*'Bou Emné - Sample Recipe'!$C$3/'Bou Emné - Sample Recipe'!$B$3</f>
        <v>0.53</v>
      </c>
      <c r="F11" t="s" s="24">
        <v>17</v>
      </c>
      <c r="G11" t="s" s="24">
        <f>IF(F11="oz","ozm",IF(F11="tbsp","tbs",IF(F11="fl oz","oz",IF(F11="L","l",IF(F11="mL","ml",IF(F11="lb","lbm",IF(F11="----","F",F11)))))))</f>
        <v>17</v>
      </c>
    </row>
    <row r="12" ht="22" customHeight="1">
      <c r="A12" t="s" s="22">
        <v>68</v>
      </c>
      <c r="B12" s="23">
        <v>1</v>
      </c>
      <c r="C12" t="s" s="24">
        <v>17</v>
      </c>
      <c r="D12" t="s" s="24">
        <f>IF(C12="oz","ozm",IF(C12="tbsp","tbs",IF(C12="fl oz","oz",IF(C12="L","l",IF(C12="mL","ml",IF(C12="lb","lbm",IF(C12="----","F",C12)))))))</f>
        <v>17</v>
      </c>
      <c r="E12" s="26">
        <f>IF(AND(D12="F",G12="F"),B12,CONVERT(B12,D12,G12))*'Bou Emné - Sample Recipe'!$C$3/'Bou Emné - Sample Recipe'!$B$3</f>
        <v>0.53</v>
      </c>
      <c r="F12" t="s" s="24">
        <v>17</v>
      </c>
      <c r="G12" t="s" s="24">
        <f>IF(F12="oz","ozm",IF(F12="tbsp","tbs",IF(F12="fl oz","oz",IF(F12="L","l",IF(F12="mL","ml",IF(F12="lb","lbm",IF(F12="----","F",F12)))))))</f>
        <v>17</v>
      </c>
    </row>
    <row r="13" ht="22" customHeight="1">
      <c r="A13" s="24"/>
      <c r="B13" s="23"/>
      <c r="C13" s="24"/>
      <c r="D13" t="s" s="24">
        <f>IF(C13="oz","ozm",IF(C13="tbsp","tbs",IF(C13="fl oz","oz",IF(C13="L","l",IF(C13="mL","ml",IF(C13="lb","lbm",IF(C13="----","F",C13)))))))</f>
      </c>
      <c r="E13" s="26"/>
      <c r="F13" s="51"/>
      <c r="G13" s="52">
        <f>IF(F13="oz","ozm",IF(F13="tbsp","tbs",IF(F13="fl oz","oz",IF(F13="L","l",IF(F13="mL","ml",IF(F13="lb","lbm",IF(F13="----","F",F13)))))))</f>
        <v>0</v>
      </c>
    </row>
    <row r="14" ht="22" customHeight="1">
      <c r="A14" s="24"/>
      <c r="B14" s="23"/>
      <c r="C14" s="24"/>
      <c r="D14" t="s" s="24">
        <f>IF(C14="oz","ozm",IF(C14="tbsp","tbs",IF(C14="fl oz","oz",IF(C14="L","l",IF(C14="mL","ml",IF(C14="lb","lbm",IF(C14="----","F",C14)))))))</f>
      </c>
      <c r="E14" s="26"/>
      <c r="F14" s="24"/>
      <c r="G14" t="s" s="24">
        <f>IF(F14="oz","ozm",IF(F14="tbsp","tbs",IF(F14="fl oz","oz",IF(F14="L","l",IF(F14="mL","ml",IF(F14="lb","lbm",IF(F14="----","F",F14)))))))</f>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22.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23.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53" customWidth="1"/>
    <col min="2" max="3" width="18" style="53" customWidth="1"/>
    <col min="4" max="256" width="21" style="53" customWidth="1"/>
  </cols>
  <sheetData>
    <row r="1" ht="28" customHeight="1">
      <c r="A1" t="s" s="31">
        <v>19</v>
      </c>
      <c r="B1" s="31"/>
      <c r="C1" s="31"/>
    </row>
    <row r="2" ht="19.5" customHeight="1">
      <c r="A2" s="28"/>
      <c r="B2" t="s" s="28">
        <v>26</v>
      </c>
      <c r="C2" t="s" s="28">
        <v>21</v>
      </c>
    </row>
    <row r="3" ht="22" customHeight="1">
      <c r="A3" s="24"/>
      <c r="B3" s="29">
        <v>10</v>
      </c>
      <c r="C3" s="29">
        <v>5.3</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G17"/>
  <sheetViews>
    <sheetView workbookViewId="0" showGridLines="0" defaultGridColor="1"/>
  </sheetViews>
  <sheetFormatPr defaultColWidth="9" defaultRowHeight="20.55" customHeight="1" outlineLevelRow="0" outlineLevelCol="0"/>
  <cols>
    <col min="1" max="1" width="21" style="54" customWidth="1"/>
    <col min="2" max="3" width="9" style="54" customWidth="1"/>
    <col min="4" max="4" hidden="1" width="9" style="54" customWidth="1"/>
    <col min="5" max="6" width="9" style="54" customWidth="1"/>
    <col min="7" max="7" hidden="1" width="9" style="54" customWidth="1"/>
    <col min="8" max="256" width="9" style="54" customWidth="1"/>
  </cols>
  <sheetData>
    <row r="1" ht="22.5" customHeight="1">
      <c r="A1" t="s" s="42">
        <v>7</v>
      </c>
      <c r="B1" t="s" s="42">
        <v>8</v>
      </c>
      <c r="C1" s="8"/>
      <c r="D1" s="9"/>
      <c r="E1" t="s" s="42">
        <v>9</v>
      </c>
      <c r="F1" s="8"/>
      <c r="G1" s="9"/>
    </row>
    <row r="2" ht="21.6" customHeight="1">
      <c r="A2" t="s" s="10">
        <v>73</v>
      </c>
      <c r="B2" s="11">
        <v>2</v>
      </c>
      <c r="C2" t="s" s="12">
        <v>74</v>
      </c>
      <c r="D2" t="s" s="12">
        <f>IF(C2="oz","ozm",IF(C2="tbsp","tbs",IF(C2="fl oz","oz",IF(C2="L","l",IF(C2="mL","ml",IF(C2="lb","lbm",IF(C2="----","F",C2)))))))</f>
        <v>74</v>
      </c>
      <c r="E2" s="13">
        <f>IF(AND(D2="F",G2="F"),B2,CONVERT(B2,D2,G2))*'La''tine - Sample Recipe'!$C$3/'La''tine - Sample Recipe'!$B$3</f>
        <v>1.06</v>
      </c>
      <c r="F2" t="s" s="12">
        <v>74</v>
      </c>
      <c r="G2" t="s" s="12">
        <f>IF(F2="oz","ozm",IF(F2="tbsp","tbs",IF(F2="fl oz","oz",IF(F2="L","l",IF(F2="mL","ml",IF(F2="lb","lbm",IF(F2="----","F",F2)))))))</f>
        <v>74</v>
      </c>
    </row>
    <row r="3" ht="21.25" customHeight="1">
      <c r="A3" t="s" s="14">
        <v>12</v>
      </c>
      <c r="B3" s="15">
        <v>600</v>
      </c>
      <c r="C3" t="s" s="16">
        <v>11</v>
      </c>
      <c r="D3" t="s" s="16">
        <f>IF(C3="oz","ozm",IF(C3="tbsp","tbs",IF(C3="fl oz","oz",IF(C3="L","l",IF(C3="mL","ml",IF(C3="lb","lbm",IF(C3="----","F",C3)))))))</f>
        <v>11</v>
      </c>
      <c r="E3" s="17">
        <f>IF(AND(D3="F",G3="F"),B3,CONVERT(B3,D3,G3))*'La''tine - Sample Recipe'!$C$3/'La''tine - Sample Recipe'!$B$3</f>
        <v>318</v>
      </c>
      <c r="F3" t="s" s="16">
        <v>11</v>
      </c>
      <c r="G3" t="s" s="16">
        <f>IF(F3="oz","ozm",IF(F3="tbsp","tbs",IF(F3="fl oz","oz",IF(F3="L","l",IF(F3="mL","ml",IF(F3="lb","lbm",IF(F3="----","F",F3)))))))</f>
        <v>11</v>
      </c>
    </row>
    <row r="4" ht="21.25" customHeight="1">
      <c r="A4" t="s" s="14">
        <v>60</v>
      </c>
      <c r="B4" s="15">
        <v>3</v>
      </c>
      <c r="C4" t="s" s="16">
        <v>31</v>
      </c>
      <c r="D4" t="s" s="16">
        <f>IF(C4="oz","ozm",IF(C4="tbsp","tbs",IF(C4="fl oz","oz",IF(C4="L","l",IF(C4="mL","ml",IF(C4="lb","lbm",IF(C4="----","F",C4)))))))</f>
        <v>32</v>
      </c>
      <c r="E4" s="17">
        <f>IF(AND(D4="F",G4="F"),B4,CONVERT(B4,D4,G4))*'La''tine - Sample Recipe'!$C$3/'La''tine - Sample Recipe'!$B$3</f>
        <v>1.59</v>
      </c>
      <c r="F4" t="s" s="16">
        <v>31</v>
      </c>
      <c r="G4" t="s" s="16">
        <f>IF(F4="oz","ozm",IF(F4="tbsp","tbs",IF(F4="fl oz","oz",IF(F4="L","l",IF(F4="mL","ml",IF(F4="lb","lbm",IF(F4="----","F",F4)))))))</f>
        <v>32</v>
      </c>
    </row>
    <row r="5" ht="21.25" customHeight="1">
      <c r="A5" t="s" s="14">
        <v>29</v>
      </c>
      <c r="B5" s="15">
        <v>250</v>
      </c>
      <c r="C5" t="s" s="16">
        <v>11</v>
      </c>
      <c r="D5" t="s" s="16">
        <f>IF(C5="oz","ozm",IF(C5="tbsp","tbs",IF(C5="fl oz","oz",IF(C5="L","l",IF(C5="mL","ml",IF(C5="lb","lbm",IF(C5="----","F",C5)))))))</f>
        <v>11</v>
      </c>
      <c r="E5" s="17">
        <f>IF(AND(D5="F",G5="F"),B5,CONVERT(B5,D5,G5))*'La''tine - Sample Recipe'!$C$3/'La''tine - Sample Recipe'!$B$3</f>
        <v>132.5</v>
      </c>
      <c r="F5" t="s" s="16">
        <v>11</v>
      </c>
      <c r="G5" t="s" s="16">
        <f>IF(F5="oz","ozm",IF(F5="tbsp","tbs",IF(F5="fl oz","oz",IF(F5="L","l",IF(F5="mL","ml",IF(F5="lb","lbm",IF(F5="----","F",F5)))))))</f>
        <v>11</v>
      </c>
    </row>
    <row r="6" ht="21.25" customHeight="1">
      <c r="A6" t="s" s="14">
        <v>75</v>
      </c>
      <c r="B6" s="15">
        <v>0.75</v>
      </c>
      <c r="C6" t="s" s="16">
        <v>74</v>
      </c>
      <c r="D6" t="s" s="16">
        <f>IF(C6="oz","ozm",IF(C6="tbsp","tbs",IF(C6="fl oz","oz",IF(C6="L","l",IF(C6="mL","ml",IF(C6="lb","lbm",IF(C6="----","F",C6)))))))</f>
        <v>74</v>
      </c>
      <c r="E6" s="17">
        <f>IF(AND(D6="F",G6="F"),B6,CONVERT(B6,D6,G6))*'La''tine - Sample Recipe'!$C$3/'La''tine - Sample Recipe'!$B$3</f>
        <v>0.3975</v>
      </c>
      <c r="F6" t="s" s="16">
        <v>74</v>
      </c>
      <c r="G6" t="s" s="16">
        <f>IF(F6="oz","ozm",IF(F6="tbsp","tbs",IF(F6="fl oz","oz",IF(F6="L","l",IF(F6="mL","ml",IF(F6="lb","lbm",IF(F6="----","F",F6)))))))</f>
        <v>74</v>
      </c>
    </row>
    <row r="7" ht="21.25" customHeight="1">
      <c r="A7" t="s" s="14">
        <v>13</v>
      </c>
      <c r="B7" s="15">
        <v>120</v>
      </c>
      <c r="C7" t="s" s="16">
        <v>14</v>
      </c>
      <c r="D7" t="s" s="16">
        <f>IF(C7="oz","ozm",IF(C7="tbsp","tbs",IF(C7="fl oz","oz",IF(C7="L","l",IF(C7="mL","ml",IF(C7="lb","lbm",IF(C7="----","F",C7)))))))</f>
        <v>15</v>
      </c>
      <c r="E7" s="17">
        <f>IF(AND(D7="F",G7="F"),B7,CONVERT(B7,D7,G7))*'La''tine - Sample Recipe'!$C$3/'La''tine - Sample Recipe'!$B$3</f>
        <v>63.6</v>
      </c>
      <c r="F7" t="s" s="16">
        <v>14</v>
      </c>
      <c r="G7" t="s" s="16">
        <f>IF(F7="oz","ozm",IF(F7="tbsp","tbs",IF(F7="fl oz","oz",IF(F7="L","l",IF(F7="mL","ml",IF(F7="lb","lbm",IF(F7="----","F",F7)))))))</f>
        <v>15</v>
      </c>
    </row>
    <row r="8" ht="34.25" customHeight="1">
      <c r="A8" t="s" s="14">
        <v>33</v>
      </c>
      <c r="B8" s="15">
        <v>2</v>
      </c>
      <c r="C8" t="s" s="16">
        <v>31</v>
      </c>
      <c r="D8" t="s" s="16">
        <f>IF(C8="oz","ozm",IF(C8="tbsp","tbs",IF(C8="fl oz","oz",IF(C8="L","l",IF(C8="mL","ml",IF(C8="lb","lbm",IF(C8="----","F",C8)))))))</f>
        <v>32</v>
      </c>
      <c r="E8" s="17">
        <f>IF(AND(D8="F",G8="F"),B8,CONVERT(B8,D8,G8))*'La''tine - Sample Recipe'!$C$3/'La''tine - Sample Recipe'!$B$3</f>
        <v>1.06</v>
      </c>
      <c r="F8" t="s" s="16">
        <v>31</v>
      </c>
      <c r="G8" t="s" s="16">
        <f>IF(F8="oz","ozm",IF(F8="tbsp","tbs",IF(F8="fl oz","oz",IF(F8="L","l",IF(F8="mL","ml",IF(F8="lb","lbm",IF(F8="----","F",F8)))))))</f>
        <v>32</v>
      </c>
    </row>
    <row r="9" ht="21.6" customHeight="1">
      <c r="A9" t="s" s="18">
        <v>67</v>
      </c>
      <c r="B9" s="19">
        <v>50</v>
      </c>
      <c r="C9" t="s" s="20">
        <v>11</v>
      </c>
      <c r="D9" t="s" s="20">
        <f>IF(C9="oz","ozm",IF(C9="tbsp","tbs",IF(C9="fl oz","oz",IF(C9="L","l",IF(C9="mL","ml",IF(C9="lb","lbm",IF(C9="----","F",C9)))))))</f>
        <v>11</v>
      </c>
      <c r="E9" s="21">
        <v>25</v>
      </c>
      <c r="F9" t="s" s="20">
        <v>11</v>
      </c>
      <c r="G9" t="s" s="20">
        <f>IF(F9="oz","ozm",IF(F9="tbsp","tbs",IF(F9="fl oz","oz",IF(F9="L","l",IF(F9="mL","ml",IF(F9="lb","lbm",IF(F9="----","F",F9)))))))</f>
        <v>11</v>
      </c>
    </row>
    <row r="10" ht="22" customHeight="1">
      <c r="A10" t="s" s="22">
        <v>76</v>
      </c>
      <c r="B10" s="23">
        <v>1.5</v>
      </c>
      <c r="C10" t="s" s="24">
        <v>31</v>
      </c>
      <c r="D10" t="s" s="24">
        <f>IF(C10="oz","ozm",IF(C10="tbsp","tbs",IF(C10="fl oz","oz",IF(C10="L","l",IF(C10="mL","ml",IF(C10="lb","lbm",IF(C10="----","F",C10)))))))</f>
        <v>32</v>
      </c>
      <c r="E10" s="26">
        <f>IF(AND(D10="F",G10="F"),B10,CONVERT(B10,D10,G10))*'La''tine - Sample Recipe'!$C$3/'La''tine - Sample Recipe'!$B$3</f>
        <v>0.7949999999999998</v>
      </c>
      <c r="F10" t="s" s="24">
        <v>31</v>
      </c>
      <c r="G10" t="s" s="24">
        <f>IF(F10="oz","ozm",IF(F10="tbsp","tbs",IF(F10="fl oz","oz",IF(F10="L","l",IF(F10="mL","ml",IF(F10="lb","lbm",IF(F10="----","F",F10)))))))</f>
        <v>32</v>
      </c>
    </row>
    <row r="11" ht="22" customHeight="1">
      <c r="A11" t="s" s="22">
        <v>77</v>
      </c>
      <c r="B11" s="23">
        <v>5</v>
      </c>
      <c r="C11" t="s" s="24">
        <v>11</v>
      </c>
      <c r="D11" t="s" s="24">
        <f>IF(C11="oz","ozm",IF(C11="tbsp","tbs",IF(C11="fl oz","oz",IF(C11="L","l",IF(C11="mL","ml",IF(C11="lb","lbm",IF(C11="----","F",C11)))))))</f>
        <v>11</v>
      </c>
      <c r="E11" s="26">
        <f>IF(AND(D11="F",G11="F"),B11,CONVERT(B11,D11,G11))*'La''tine - Sample Recipe'!$C$3/'La''tine - Sample Recipe'!$B$3</f>
        <v>2.65</v>
      </c>
      <c r="F11" t="s" s="24">
        <v>11</v>
      </c>
      <c r="G11" t="s" s="24">
        <f>IF(F11="oz","ozm",IF(F11="tbsp","tbs",IF(F11="fl oz","oz",IF(F11="L","l",IF(F11="mL","ml",IF(F11="lb","lbm",IF(F11="----","F",F11)))))))</f>
        <v>11</v>
      </c>
    </row>
    <row r="12" ht="22" customHeight="1">
      <c r="A12" t="s" s="22">
        <v>68</v>
      </c>
      <c r="B12" s="23">
        <v>1</v>
      </c>
      <c r="C12" t="s" s="24">
        <v>17</v>
      </c>
      <c r="D12" t="s" s="24">
        <f>IF(C12="oz","ozm",IF(C12="tbsp","tbs",IF(C12="fl oz","oz",IF(C12="L","l",IF(C12="mL","ml",IF(C12="lb","lbm",IF(C12="----","F",C12)))))))</f>
        <v>17</v>
      </c>
      <c r="E12" s="26">
        <f>IF(AND(D12="F",G12="F"),B12,CONVERT(B12,D12,G12))*'La''tine - Sample Recipe'!$C$3/'La''tine - Sample Recipe'!$B$3</f>
        <v>0.53</v>
      </c>
      <c r="F12" t="s" s="24">
        <v>17</v>
      </c>
      <c r="G12" t="s" s="24">
        <f>IF(F12="oz","ozm",IF(F12="tbsp","tbs",IF(F12="fl oz","oz",IF(F12="L","l",IF(F12="mL","ml",IF(F12="lb","lbm",IF(F12="----","F",F12)))))))</f>
        <v>17</v>
      </c>
    </row>
    <row r="13" ht="22" customHeight="1">
      <c r="A13" t="s" s="22">
        <v>41</v>
      </c>
      <c r="B13" s="23">
        <v>1</v>
      </c>
      <c r="C13" t="s" s="24">
        <v>17</v>
      </c>
      <c r="D13" t="s" s="24">
        <f>IF(C13="oz","ozm",IF(C13="tbsp","tbs",IF(C13="fl oz","oz",IF(C13="L","l",IF(C13="mL","ml",IF(C13="lb","lbm",IF(C13="----","F",C13)))))))</f>
        <v>17</v>
      </c>
      <c r="E13" s="26">
        <f>IF(AND(D13="F",G13="F"),B13,CONVERT(B13,D13,G13))*'La''tine - Sample Recipe'!$C$3/'La''tine - Sample Recipe'!$B$3</f>
        <v>0.53</v>
      </c>
      <c r="F13" t="s" s="24">
        <v>17</v>
      </c>
      <c r="G13" t="s" s="24">
        <f>IF(F13="oz","ozm",IF(F13="tbsp","tbs",IF(F13="fl oz","oz",IF(F13="L","l",IF(F13="mL","ml",IF(F13="lb","lbm",IF(F13="----","F",F13)))))))</f>
        <v>17</v>
      </c>
    </row>
    <row r="14" ht="22" customHeight="1">
      <c r="A14" t="s" s="22">
        <v>68</v>
      </c>
      <c r="B14" s="23">
        <v>1</v>
      </c>
      <c r="C14" t="s" s="24">
        <v>17</v>
      </c>
      <c r="D14" t="s" s="24">
        <f>IF(C14="oz","ozm",IF(C14="tbsp","tbs",IF(C14="fl oz","oz",IF(C14="L","l",IF(C14="mL","ml",IF(C14="lb","lbm",IF(C14="----","F",C14)))))))</f>
        <v>17</v>
      </c>
      <c r="E14" s="26">
        <f>IF(AND(D14="F",G14="F"),B14,CONVERT(B14,D14,G14))*'La''tine - Sample Recipe'!$C$3/'La''tine - Sample Recipe'!$B$3</f>
        <v>0.53</v>
      </c>
      <c r="F14" t="s" s="24">
        <v>17</v>
      </c>
      <c r="G14" t="s" s="24">
        <f>IF(F14="oz","ozm",IF(F14="tbsp","tbs",IF(F14="fl oz","oz",IF(F14="L","l",IF(F14="mL","ml",IF(F14="lb","lbm",IF(F14="----","F",F14)))))))</f>
        <v>17</v>
      </c>
    </row>
    <row r="15" ht="22" customHeight="1">
      <c r="A15" t="s" s="22">
        <v>16</v>
      </c>
      <c r="B15" s="23">
        <v>1</v>
      </c>
      <c r="C15" t="s" s="24">
        <v>31</v>
      </c>
      <c r="D15" t="s" s="24">
        <f>IF(C15="oz","ozm",IF(C15="tbsp","tbs",IF(C15="fl oz","oz",IF(C15="L","l",IF(C15="mL","ml",IF(C15="lb","lbm",IF(C15="----","F",C15)))))))</f>
        <v>32</v>
      </c>
      <c r="E15" s="26">
        <f>IF(AND(D15="F",G15="F"),B15,CONVERT(B15,D15,G15))*'La''tine - Sample Recipe'!$C$3/'La''tine - Sample Recipe'!$B$3</f>
        <v>1.59</v>
      </c>
      <c r="F15" t="s" s="24">
        <v>17</v>
      </c>
      <c r="G15" t="s" s="24">
        <f>IF(F15="oz","ozm",IF(F15="tbsp","tbs",IF(F15="fl oz","oz",IF(F15="L","l",IF(F15="mL","ml",IF(F15="lb","lbm",IF(F15="----","F",F15)))))))</f>
        <v>17</v>
      </c>
    </row>
    <row r="16" ht="22" customHeight="1">
      <c r="A16" t="s" s="22">
        <v>18</v>
      </c>
      <c r="B16" s="23">
        <v>0.5</v>
      </c>
      <c r="C16" t="s" s="24">
        <v>31</v>
      </c>
      <c r="D16" t="s" s="24">
        <f>IF(C16="oz","ozm",IF(C16="tbsp","tbs",IF(C16="fl oz","oz",IF(C16="L","l",IF(C16="mL","ml",IF(C16="lb","lbm",IF(C16="----","F",C16)))))))</f>
        <v>32</v>
      </c>
      <c r="E16" s="26">
        <v>0.25</v>
      </c>
      <c r="F16" t="s" s="24">
        <v>31</v>
      </c>
      <c r="G16" t="s" s="24">
        <f>IF(F16="oz","ozm",IF(F16="tbsp","tbs",IF(F16="fl oz","oz",IF(F16="L","l",IF(F16="mL","ml",IF(F16="lb","lbm",IF(F16="----","F",F16)))))))</f>
        <v>32</v>
      </c>
    </row>
    <row r="17" ht="22" customHeight="1">
      <c r="A17" s="22"/>
      <c r="B17" s="23"/>
      <c r="C17" s="24"/>
      <c r="D17" t="s" s="24">
        <f>IF(C17="oz","ozm",IF(C17="tbsp","tbs",IF(C17="fl oz","oz",IF(C17="L","l",IF(C17="mL","ml",IF(C17="lb","lbm",IF(C17="----","F",C17)))))))</f>
      </c>
      <c r="E17" s="26"/>
      <c r="F17" s="24"/>
      <c r="G17" t="s" s="24">
        <f>IF(F17="oz","ozm",IF(F17="tbsp","tbs",IF(F17="fl oz","oz",IF(F17="L","l",IF(F17="mL","ml",IF(F17="lb","lbm",IF(F17="----","F",F17)))))))</f>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25.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26.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55" customWidth="1"/>
    <col min="2" max="3" width="18" style="55" customWidth="1"/>
    <col min="4" max="256" width="21" style="55" customWidth="1"/>
  </cols>
  <sheetData>
    <row r="1" ht="28" customHeight="1">
      <c r="A1" t="s" s="31">
        <v>19</v>
      </c>
      <c r="B1" s="31"/>
      <c r="C1" s="31"/>
    </row>
    <row r="2" ht="19.5" customHeight="1">
      <c r="A2" s="28"/>
      <c r="B2" t="s" s="28">
        <v>26</v>
      </c>
      <c r="C2" t="s" s="28">
        <v>21</v>
      </c>
    </row>
    <row r="3" ht="22" customHeight="1">
      <c r="A3" s="24"/>
      <c r="B3" s="29">
        <v>10</v>
      </c>
      <c r="C3" s="29">
        <v>5.3</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G9"/>
  <sheetViews>
    <sheetView workbookViewId="0" showGridLines="0" defaultGridColor="1"/>
  </sheetViews>
  <sheetFormatPr defaultColWidth="9" defaultRowHeight="20.55" customHeight="1" outlineLevelRow="0" outlineLevelCol="0"/>
  <cols>
    <col min="1" max="1" width="21" style="56" customWidth="1"/>
    <col min="2" max="3" width="9" style="56" customWidth="1"/>
    <col min="4" max="4" hidden="1" width="9" style="56" customWidth="1"/>
    <col min="5" max="6" width="9" style="56" customWidth="1"/>
    <col min="7" max="7" hidden="1" width="9" style="56" customWidth="1"/>
    <col min="8" max="256" width="9" style="56" customWidth="1"/>
  </cols>
  <sheetData>
    <row r="1" ht="23.5" customHeight="1">
      <c r="A1" t="s" s="33">
        <v>7</v>
      </c>
      <c r="B1" t="s" s="33">
        <v>8</v>
      </c>
      <c r="C1" s="8"/>
      <c r="D1" s="9"/>
      <c r="E1" s="33"/>
      <c r="F1" s="8"/>
      <c r="G1" s="9"/>
    </row>
    <row r="2" ht="21.6" customHeight="1">
      <c r="A2" t="s" s="10">
        <v>10</v>
      </c>
      <c r="B2" s="11">
        <v>35</v>
      </c>
      <c r="C2" t="s" s="12">
        <v>11</v>
      </c>
      <c r="D2" t="s" s="12">
        <f>IF(C2="oz","ozm",IF(C2="tbsp","tbs",IF(C2="fl oz","oz",IF(C2="L","l",IF(C2="mL","ml",IF(C2="lb","lbm",IF(C2="----","F",C2)))))))</f>
        <v>11</v>
      </c>
      <c r="E2" s="13"/>
      <c r="F2" s="12"/>
      <c r="G2" t="s" s="12">
        <f>IF(F2="oz","ozm",IF(F2="tbsp","tbs",IF(F2="fl oz","oz",IF(F2="L","l",IF(F2="mL","ml",IF(F2="lb","lbm",IF(F2="----","F",F2)))))))</f>
      </c>
    </row>
    <row r="3" ht="21.25" customHeight="1">
      <c r="A3" t="s" s="14">
        <v>12</v>
      </c>
      <c r="B3" s="15">
        <v>20</v>
      </c>
      <c r="C3" t="s" s="16">
        <v>11</v>
      </c>
      <c r="D3" t="s" s="16">
        <f>IF(C3="oz","ozm",IF(C3="tbsp","tbs",IF(C3="fl oz","oz",IF(C3="L","l",IF(C3="mL","ml",IF(C3="lb","lbm",IF(C3="----","F",C3)))))))</f>
        <v>11</v>
      </c>
      <c r="E3" s="17"/>
      <c r="F3" s="16"/>
      <c r="G3" t="s" s="16">
        <f>IF(F3="oz","ozm",IF(F3="tbsp","tbs",IF(F3="fl oz","oz",IF(F3="L","l",IF(F3="mL","ml",IF(F3="lb","lbm",IF(F3="----","F",F3)))))))</f>
      </c>
    </row>
    <row r="4" ht="21.25" customHeight="1">
      <c r="A4" t="s" s="14">
        <v>30</v>
      </c>
      <c r="B4" s="15">
        <v>15</v>
      </c>
      <c r="C4" t="s" s="16">
        <v>11</v>
      </c>
      <c r="D4" t="s" s="16">
        <f>IF(C4="oz","ozm",IF(C4="tbsp","tbs",IF(C4="fl oz","oz",IF(C4="L","l",IF(C4="mL","ml",IF(C4="lb","lbm",IF(C4="----","F",C4)))))))</f>
        <v>11</v>
      </c>
      <c r="E4" s="17"/>
      <c r="F4" s="16"/>
      <c r="G4" t="s" s="16">
        <f>IF(F4="oz","ozm",IF(F4="tbsp","tbs",IF(F4="fl oz","oz",IF(F4="L","l",IF(F4="mL","ml",IF(F4="lb","lbm",IF(F4="----","F",F4)))))))</f>
      </c>
    </row>
    <row r="5" ht="21.25" customHeight="1">
      <c r="A5" t="s" s="14">
        <v>29</v>
      </c>
      <c r="B5" s="15">
        <v>5</v>
      </c>
      <c r="C5" t="s" s="16">
        <v>11</v>
      </c>
      <c r="D5" t="s" s="16">
        <f>IF(C5="oz","ozm",IF(C5="tbsp","tbs",IF(C5="fl oz","oz",IF(C5="L","l",IF(C5="mL","ml",IF(C5="lb","lbm",IF(C5="----","F",C5)))))))</f>
        <v>11</v>
      </c>
      <c r="E5" s="17"/>
      <c r="F5" s="16"/>
      <c r="G5" t="s" s="16">
        <f>IF(F5="oz","ozm",IF(F5="tbsp","tbs",IF(F5="fl oz","oz",IF(F5="L","l",IF(F5="mL","ml",IF(F5="lb","lbm",IF(F5="----","F",F5)))))))</f>
      </c>
    </row>
    <row r="6" ht="21.25" customHeight="1">
      <c r="A6" t="s" s="14">
        <v>82</v>
      </c>
      <c r="B6" t="s" s="57">
        <v>83</v>
      </c>
      <c r="C6" s="16"/>
      <c r="D6" t="s" s="16">
        <f>IF(C6="oz","ozm",IF(C6="tbsp","tbs",IF(C6="fl oz","oz",IF(C6="L","l",IF(C6="mL","ml",IF(C6="lb","lbm",IF(C6="----","F",C6)))))))</f>
      </c>
      <c r="E6" s="17"/>
      <c r="F6" s="16"/>
      <c r="G6" t="s" s="16">
        <f>IF(F6="oz","ozm",IF(F6="tbsp","tbs",IF(F6="fl oz","oz",IF(F6="L","l",IF(F6="mL","ml",IF(F6="lb","lbm",IF(F6="----","F",F6)))))))</f>
      </c>
    </row>
    <row r="7" ht="21.6" customHeight="1">
      <c r="A7" t="s" s="18">
        <v>16</v>
      </c>
      <c r="B7" t="s" s="58">
        <v>83</v>
      </c>
      <c r="C7" s="20"/>
      <c r="D7" t="s" s="16">
        <f>IF(C7="oz","ozm",IF(C7="tbsp","tbs",IF(C7="fl oz","oz",IF(C7="L","l",IF(C7="mL","ml",IF(C7="lb","lbm",IF(C7="----","F",C7)))))))</f>
      </c>
      <c r="E7" s="21"/>
      <c r="F7" s="45"/>
      <c r="G7" s="44">
        <f>IF(F7="oz","ozm",IF(F7="tbsp","tbs",IF(F7="fl oz","oz",IF(F7="L","l",IF(F7="mL","ml",IF(F7="lb","lbm",IF(F7="----","F",F7)))))))</f>
        <v>0</v>
      </c>
    </row>
    <row r="8" ht="22" customHeight="1">
      <c r="A8" t="s" s="22">
        <v>18</v>
      </c>
      <c r="B8" t="s" s="59">
        <v>83</v>
      </c>
      <c r="C8" s="24"/>
      <c r="D8" t="s" s="20">
        <f>IF(C8="oz","ozm",IF(C8="tbsp","tbs",IF(C8="fl oz","oz",IF(C8="L","l",IF(C8="mL","ml",IF(C8="lb","lbm",IF(C8="----","F",C8)))))))</f>
      </c>
      <c r="E8" s="26"/>
      <c r="F8" s="24"/>
      <c r="G8" t="s" s="20">
        <f>IF(F8="oz","ozm",IF(F8="tbsp","tbs",IF(F8="fl oz","oz",IF(F8="L","l",IF(F8="mL","ml",IF(F8="lb","lbm",IF(F8="----","F",F8)))))))</f>
      </c>
    </row>
    <row r="9" ht="22" customHeight="1">
      <c r="A9" t="s" s="22">
        <v>84</v>
      </c>
      <c r="B9" t="s" s="59">
        <v>83</v>
      </c>
      <c r="C9" s="24"/>
      <c r="D9" t="s" s="24">
        <f>IF(C9="oz","ozm",IF(C9="tbsp","tbs",IF(C9="fl oz","oz",IF(C9="L","l",IF(C9="mL","ml",IF(C9="lb","lbm",IF(C9="----","F",C9)))))))</f>
      </c>
      <c r="E9" s="26"/>
      <c r="F9" s="24"/>
      <c r="G9" t="s" s="24">
        <f>IF(F9="oz","ozm",IF(F9="tbsp","tbs",IF(F9="fl oz","oz",IF(F9="L","l",IF(F9="mL","ml",IF(F9="lb","lbm",IF(F9="----","F",F9)))))))</f>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28.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29.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60" customWidth="1"/>
    <col min="2" max="3" width="18" style="60" customWidth="1"/>
    <col min="4" max="256" width="21" style="60" customWidth="1"/>
  </cols>
  <sheetData>
    <row r="1" ht="28" customHeight="1">
      <c r="A1" t="s" s="31">
        <v>19</v>
      </c>
      <c r="B1" s="31"/>
      <c r="C1" s="31"/>
    </row>
    <row r="2" ht="19.5" customHeight="1">
      <c r="A2" s="28"/>
      <c r="B2" t="s" s="28">
        <v>26</v>
      </c>
      <c r="C2" t="s" s="28">
        <v>21</v>
      </c>
    </row>
    <row r="3" ht="22" customHeight="1">
      <c r="A3" s="24"/>
      <c r="B3" s="29">
        <v>10</v>
      </c>
      <c r="C3" s="29">
        <v>0</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G5"/>
  <sheetViews>
    <sheetView workbookViewId="0" showGridLines="0" defaultGridColor="1"/>
  </sheetViews>
  <sheetFormatPr defaultColWidth="9" defaultRowHeight="20.55" customHeight="1" outlineLevelRow="0" outlineLevelCol="0"/>
  <cols>
    <col min="1" max="1" width="21" style="61" customWidth="1"/>
    <col min="2" max="3" width="9" style="61" customWidth="1"/>
    <col min="4" max="4" hidden="1" width="9" style="61" customWidth="1"/>
    <col min="5" max="6" width="9" style="61" customWidth="1"/>
    <col min="7" max="7" hidden="1" width="9" style="61" customWidth="1"/>
    <col min="8" max="256" width="9" style="61" customWidth="1"/>
  </cols>
  <sheetData>
    <row r="1" ht="22.5" customHeight="1">
      <c r="A1" t="s" s="42">
        <v>7</v>
      </c>
      <c r="B1" t="s" s="42">
        <v>8</v>
      </c>
      <c r="C1" s="8"/>
      <c r="D1" s="9"/>
      <c r="E1" t="s" s="42">
        <v>9</v>
      </c>
      <c r="F1" s="8"/>
      <c r="G1" s="9"/>
    </row>
    <row r="2" ht="21.6" customHeight="1">
      <c r="A2" t="s" s="10">
        <v>89</v>
      </c>
      <c r="B2" s="11">
        <v>30</v>
      </c>
      <c r="C2" t="s" s="12">
        <v>11</v>
      </c>
      <c r="D2" t="s" s="12">
        <f>IF(C2="oz","ozm",IF(C2="tbsp","tbs",IF(C2="fl oz","oz",IF(C2="L","l",IF(C2="mL","ml",IF(C2="lb","lbm",IF(C2="----","F",C2)))))))</f>
        <v>11</v>
      </c>
      <c r="E2" s="13">
        <f>IF(AND(D2="F",G2="F"),B2,CONVERT(B2,D2,G2))*'Kabkoub Acovado - Sample Recipe'!$C$3/'Kabkoub Acovado - Sample Recipe'!$B$3</f>
        <v>0</v>
      </c>
      <c r="F2" t="s" s="12">
        <v>11</v>
      </c>
      <c r="G2" t="s" s="12">
        <f>IF(F2="oz","ozm",IF(F2="tbsp","tbs",IF(F2="fl oz","oz",IF(F2="L","l",IF(F2="mL","ml",IF(F2="lb","lbm",IF(F2="----","F",F2)))))))</f>
        <v>11</v>
      </c>
    </row>
    <row r="3" ht="21.25" customHeight="1">
      <c r="A3" t="s" s="14">
        <v>90</v>
      </c>
      <c r="B3" s="15">
        <v>30</v>
      </c>
      <c r="C3" t="s" s="16">
        <v>11</v>
      </c>
      <c r="D3" t="s" s="16">
        <f>IF(C3="oz","ozm",IF(C3="tbsp","tbs",IF(C3="fl oz","oz",IF(C3="L","l",IF(C3="mL","ml",IF(C3="lb","lbm",IF(C3="----","F",C3)))))))</f>
        <v>11</v>
      </c>
      <c r="E3" s="17">
        <f>IF(AND(D3="F",G3="F"),B3,CONVERT(B3,D3,G3))*'Kabkoub Acovado - Sample Recipe'!$C$3/'Kabkoub Acovado - Sample Recipe'!$B$3</f>
        <v>0</v>
      </c>
      <c r="F3" t="s" s="16">
        <v>11</v>
      </c>
      <c r="G3" t="s" s="16">
        <f>IF(F3="oz","ozm",IF(F3="tbsp","tbs",IF(F3="fl oz","oz",IF(F3="L","l",IF(F3="mL","ml",IF(F3="lb","lbm",IF(F3="----","F",F3)))))))</f>
        <v>11</v>
      </c>
    </row>
    <row r="4" ht="21.6" customHeight="1">
      <c r="A4" t="s" s="18">
        <v>91</v>
      </c>
      <c r="B4" s="19">
        <v>1</v>
      </c>
      <c r="C4" t="s" s="20">
        <v>17</v>
      </c>
      <c r="D4" t="s" s="16">
        <f>IF(C4="oz","ozm",IF(C4="tbsp","tbs",IF(C4="fl oz","oz",IF(C4="L","l",IF(C4="mL","ml",IF(C4="lb","lbm",IF(C4="----","F",C4)))))))</f>
        <v>17</v>
      </c>
      <c r="E4" s="21">
        <f>IF(AND(D4="F",G4="F"),B4,CONVERT(B4,D4,G4))*'Kabkoub Acovado - Sample Recipe'!$C$3/'Kabkoub Acovado - Sample Recipe'!$B$3</f>
        <v>0</v>
      </c>
      <c r="F4" t="s" s="20">
        <v>31</v>
      </c>
      <c r="G4" t="s" s="16">
        <f>IF(F4="oz","ozm",IF(F4="tbsp","tbs",IF(F4="fl oz","oz",IF(F4="L","l",IF(F4="mL","ml",IF(F4="lb","lbm",IF(F4="----","F",F4)))))))</f>
        <v>32</v>
      </c>
    </row>
    <row r="5" ht="22" customHeight="1">
      <c r="A5" t="s" s="22">
        <v>41</v>
      </c>
      <c r="B5" t="s" s="62">
        <v>83</v>
      </c>
      <c r="C5" s="24"/>
      <c r="D5" t="s" s="25">
        <f>IF(C5="oz","ozm",IF(C5="tbsp","tbs",IF(C5="fl oz","oz",IF(C5="L","l",IF(C5="mL","ml",IF(C5="lb","lbm",IF(C5="----","F",C5)))))))</f>
      </c>
      <c r="E5" s="26"/>
      <c r="F5" s="51"/>
      <c r="G5" s="63">
        <f>IF(F5="oz","ozm",IF(F5="tbsp","tbs",IF(F5="fl oz","oz",IF(F5="L","l",IF(F5="mL","ml",IF(F5="lb","lbm",IF(F5="----","F",F5)))))))</f>
        <v>0</v>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31.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32.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64" customWidth="1"/>
    <col min="2" max="3" width="18" style="64" customWidth="1"/>
    <col min="4" max="256" width="21" style="64" customWidth="1"/>
  </cols>
  <sheetData>
    <row r="1" ht="28" customHeight="1">
      <c r="A1" t="s" s="31">
        <v>19</v>
      </c>
      <c r="B1" s="31"/>
      <c r="C1" s="31"/>
    </row>
    <row r="2" ht="19.5" customHeight="1">
      <c r="A2" s="28"/>
      <c r="B2" t="s" s="28">
        <v>26</v>
      </c>
      <c r="C2" t="s" s="28">
        <v>21</v>
      </c>
    </row>
    <row r="3" ht="22" customHeight="1">
      <c r="A3" s="24"/>
      <c r="B3" s="29">
        <v>10</v>
      </c>
      <c r="C3" s="29">
        <v>0</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G6"/>
  <sheetViews>
    <sheetView workbookViewId="0" showGridLines="0" defaultGridColor="1"/>
  </sheetViews>
  <sheetFormatPr defaultColWidth="9" defaultRowHeight="20.55" customHeight="1" outlineLevelRow="0" outlineLevelCol="0"/>
  <cols>
    <col min="1" max="1" width="21" style="65" customWidth="1"/>
    <col min="2" max="3" width="9" style="65" customWidth="1"/>
    <col min="4" max="4" hidden="1" width="9" style="65" customWidth="1"/>
    <col min="5" max="6" width="9" style="65" customWidth="1"/>
    <col min="7" max="7" hidden="1" width="9" style="65" customWidth="1"/>
    <col min="8" max="256" width="9" style="65" customWidth="1"/>
  </cols>
  <sheetData>
    <row r="1" ht="22.5" customHeight="1">
      <c r="A1" t="s" s="42">
        <v>7</v>
      </c>
      <c r="B1" t="s" s="42">
        <v>8</v>
      </c>
      <c r="C1" s="8"/>
      <c r="D1" s="9"/>
      <c r="E1" t="s" s="42">
        <v>9</v>
      </c>
      <c r="F1" s="8"/>
      <c r="G1" s="9"/>
    </row>
    <row r="2" ht="21.6" customHeight="1">
      <c r="A2" t="s" s="10">
        <v>38</v>
      </c>
      <c r="B2" s="11">
        <v>60</v>
      </c>
      <c r="C2" t="s" s="12">
        <v>11</v>
      </c>
      <c r="D2" t="s" s="12">
        <f>IF(C2="oz","ozm",IF(C2="tbsp","tbs",IF(C2="fl oz","oz",IF(C2="L","l",IF(C2="mL","ml",IF(C2="lb","lbm",IF(C2="----","F",C2)))))))</f>
        <v>11</v>
      </c>
      <c r="E2" s="13">
        <f>IF(AND(D2="F",G2="F"),B2,CONVERT(B2,D2,G2))*'Kabkoub Feta - Sample Recipe'!$C$3/'Kabkoub Feta - Sample Recipe'!$B$3</f>
        <v>0</v>
      </c>
      <c r="F2" t="s" s="12">
        <v>11</v>
      </c>
      <c r="G2" t="s" s="12">
        <f>IF(F2="oz","ozm",IF(F2="tbsp","tbs",IF(F2="fl oz","oz",IF(F2="L","l",IF(F2="mL","ml",IF(F2="lb","lbm",IF(F2="----","F",F2)))))))</f>
        <v>11</v>
      </c>
    </row>
    <row r="3" ht="21.25" customHeight="1">
      <c r="A3" t="s" s="14">
        <v>29</v>
      </c>
      <c r="B3" s="15">
        <v>8</v>
      </c>
      <c r="C3" t="s" s="16">
        <v>11</v>
      </c>
      <c r="D3" t="s" s="16">
        <f>IF(C3="oz","ozm",IF(C3="tbsp","tbs",IF(C3="fl oz","oz",IF(C3="L","l",IF(C3="mL","ml",IF(C3="lb","lbm",IF(C3="----","F",C3)))))))</f>
        <v>11</v>
      </c>
      <c r="E3" s="17">
        <f>IF(AND(D3="F",G3="F"),B3,CONVERT(B3,D3,G3))*'Kabkoub Feta - Sample Recipe'!$C$3/'Kabkoub Feta - Sample Recipe'!$B$3</f>
        <v>0</v>
      </c>
      <c r="F3" t="s" s="16">
        <v>11</v>
      </c>
      <c r="G3" t="s" s="16">
        <f>IF(F3="oz","ozm",IF(F3="tbsp","tbs",IF(F3="fl oz","oz",IF(F3="L","l",IF(F3="mL","ml",IF(F3="lb","lbm",IF(F3="----","F",F3)))))))</f>
        <v>11</v>
      </c>
    </row>
    <row r="4" ht="21.6" customHeight="1">
      <c r="A4" t="s" s="18">
        <v>40</v>
      </c>
      <c r="B4" t="s" s="66">
        <v>83</v>
      </c>
      <c r="C4" s="20"/>
      <c r="D4" t="s" s="16">
        <f>IF(C4="oz","ozm",IF(C4="tbsp","tbs",IF(C4="fl oz","oz",IF(C4="L","l",IF(C4="mL","ml",IF(C4="lb","lbm",IF(C4="----","F",C4)))))))</f>
      </c>
      <c r="E4" s="21"/>
      <c r="F4" s="45"/>
      <c r="G4" s="44">
        <f>IF(F4="oz","ozm",IF(F4="tbsp","tbs",IF(F4="fl oz","oz",IF(F4="L","l",IF(F4="mL","ml",IF(F4="lb","lbm",IF(F4="----","F",F4)))))))</f>
        <v>0</v>
      </c>
    </row>
    <row r="5" ht="22" customHeight="1">
      <c r="A5" t="s" s="22">
        <v>41</v>
      </c>
      <c r="B5" t="s" s="62">
        <v>83</v>
      </c>
      <c r="C5" s="24"/>
      <c r="D5" t="s" s="16">
        <f>IF(C5="oz","ozm",IF(C5="tbsp","tbs",IF(C5="fl oz","oz",IF(C5="L","l",IF(C5="mL","ml",IF(C5="lb","lbm",IF(C5="----","F",C5)))))))</f>
      </c>
      <c r="E5" s="26"/>
      <c r="F5" s="51"/>
      <c r="G5" s="44">
        <f>IF(F5="oz","ozm",IF(F5="tbsp","tbs",IF(F5="fl oz","oz",IF(F5="L","l",IF(F5="mL","ml",IF(F5="lb","lbm",IF(F5="----","F",F5)))))))</f>
        <v>0</v>
      </c>
    </row>
    <row r="6" ht="22" customHeight="1">
      <c r="A6" t="s" s="22">
        <v>96</v>
      </c>
      <c r="B6" t="s" s="67">
        <v>97</v>
      </c>
      <c r="C6" s="24"/>
      <c r="D6" t="s" s="25">
        <f>IF(C6="oz","ozm",IF(C6="tbsp","tbs",IF(C6="fl oz","oz",IF(C6="L","l",IF(C6="mL","ml",IF(C6="lb","lbm",IF(C6="----","F",C6)))))))</f>
      </c>
      <c r="E6" s="26"/>
      <c r="F6" s="24"/>
      <c r="G6" t="s" s="25">
        <f>IF(F6="oz","ozm",IF(F6="tbsp","tbs",IF(F6="fl oz","oz",IF(F6="L","l",IF(F6="mL","ml",IF(F6="lb","lbm",IF(F6="----","F",F6)))))))</f>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34.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35.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68" customWidth="1"/>
    <col min="2" max="3" width="18" style="68" customWidth="1"/>
    <col min="4" max="256" width="21" style="68" customWidth="1"/>
  </cols>
  <sheetData>
    <row r="1" ht="28" customHeight="1">
      <c r="A1" t="s" s="31">
        <v>19</v>
      </c>
      <c r="B1" s="31"/>
      <c r="C1" s="31"/>
    </row>
    <row r="2" ht="19.5" customHeight="1">
      <c r="A2" s="28"/>
      <c r="B2" t="s" s="28">
        <v>26</v>
      </c>
      <c r="C2" t="s" s="28">
        <v>21</v>
      </c>
    </row>
    <row r="3" ht="22" customHeight="1">
      <c r="A3" s="24"/>
      <c r="B3" s="29">
        <v>10</v>
      </c>
      <c r="C3" s="29">
        <v>0</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G5"/>
  <sheetViews>
    <sheetView workbookViewId="0" showGridLines="0" defaultGridColor="1"/>
  </sheetViews>
  <sheetFormatPr defaultColWidth="9" defaultRowHeight="20.55" customHeight="1" outlineLevelRow="0" outlineLevelCol="0"/>
  <cols>
    <col min="1" max="1" width="21" style="69" customWidth="1"/>
    <col min="2" max="3" width="9" style="69" customWidth="1"/>
    <col min="4" max="4" hidden="1" width="9" style="69" customWidth="1"/>
    <col min="5" max="6" width="9" style="69" customWidth="1"/>
    <col min="7" max="7" hidden="1" width="9" style="69" customWidth="1"/>
    <col min="8" max="256" width="9" style="69" customWidth="1"/>
  </cols>
  <sheetData>
    <row r="1" ht="22.5" customHeight="1">
      <c r="A1" t="s" s="42">
        <v>7</v>
      </c>
      <c r="B1" t="s" s="42">
        <v>8</v>
      </c>
      <c r="C1" s="8"/>
      <c r="D1" s="9"/>
      <c r="E1" t="s" s="42">
        <v>9</v>
      </c>
      <c r="F1" s="8"/>
      <c r="G1" s="9"/>
    </row>
    <row r="2" ht="21.6" customHeight="1">
      <c r="A2" t="s" s="10">
        <v>102</v>
      </c>
      <c r="B2" s="11">
        <v>5</v>
      </c>
      <c r="C2" t="s" s="12">
        <v>11</v>
      </c>
      <c r="D2" t="s" s="12">
        <f>IF(C2="oz","ozm",IF(C2="tbsp","tbs",IF(C2="fl oz","oz",IF(C2="L","l",IF(C2="mL","ml",IF(C2="lb","lbm",IF(C2="----","F",C2)))))))</f>
        <v>11</v>
      </c>
      <c r="E2" s="13">
        <f>IF(AND(D2="F",G2="F"),B2,CONVERT(B2,D2,G2))*'Kabkoub Onion - Sample Recipe'!$C$3/'Kabkoub Onion - Sample Recipe'!$B$3</f>
        <v>0</v>
      </c>
      <c r="F2" t="s" s="12">
        <v>11</v>
      </c>
      <c r="G2" t="s" s="12">
        <f>IF(F2="oz","ozm",IF(F2="tbsp","tbs",IF(F2="fl oz","oz",IF(F2="L","l",IF(F2="mL","ml",IF(F2="lb","lbm",IF(F2="----","F",F2)))))))</f>
        <v>11</v>
      </c>
    </row>
    <row r="3" ht="21.25" customHeight="1">
      <c r="A3" t="s" s="14">
        <v>29</v>
      </c>
      <c r="B3" s="15">
        <v>60</v>
      </c>
      <c r="C3" t="s" s="16">
        <v>11</v>
      </c>
      <c r="D3" t="s" s="16">
        <f>IF(C3="oz","ozm",IF(C3="tbsp","tbs",IF(C3="fl oz","oz",IF(C3="L","l",IF(C3="mL","ml",IF(C3="lb","lbm",IF(C3="----","F",C3)))))))</f>
        <v>11</v>
      </c>
      <c r="E3" s="17">
        <f>IF(AND(D3="F",G3="F"),B3,CONVERT(B3,D3,G3))*'Kabkoub Onion - Sample Recipe'!$C$3/'Kabkoub Onion - Sample Recipe'!$B$3</f>
        <v>0</v>
      </c>
      <c r="F3" t="s" s="16">
        <v>11</v>
      </c>
      <c r="G3" t="s" s="16">
        <f>IF(F3="oz","ozm",IF(F3="tbsp","tbs",IF(F3="fl oz","oz",IF(F3="L","l",IF(F3="mL","ml",IF(F3="lb","lbm",IF(F3="----","F",F3)))))))</f>
        <v>11</v>
      </c>
    </row>
    <row r="4" ht="21.6" customHeight="1">
      <c r="A4" t="s" s="18">
        <v>47</v>
      </c>
      <c r="B4" t="s" s="66">
        <v>83</v>
      </c>
      <c r="C4" s="20"/>
      <c r="D4" t="s" s="16">
        <f>IF(C4="oz","ozm",IF(C4="tbsp","tbs",IF(C4="fl oz","oz",IF(C4="L","l",IF(C4="mL","ml",IF(C4="lb","lbm",IF(C4="----","F",C4)))))))</f>
      </c>
      <c r="E4" s="21"/>
      <c r="F4" s="45"/>
      <c r="G4" s="44">
        <f>IF(F4="oz","ozm",IF(F4="tbsp","tbs",IF(F4="fl oz","oz",IF(F4="L","l",IF(F4="mL","ml",IF(F4="lb","lbm",IF(F4="----","F",F4)))))))</f>
        <v>0</v>
      </c>
    </row>
    <row r="5" ht="22" customHeight="1">
      <c r="A5" t="s" s="22">
        <v>103</v>
      </c>
      <c r="B5" s="70">
        <v>1</v>
      </c>
      <c r="C5" t="s" s="24">
        <v>17</v>
      </c>
      <c r="D5" t="s" s="25">
        <f>IF(C5="oz","ozm",IF(C5="tbsp","tbs",IF(C5="fl oz","oz",IF(C5="L","l",IF(C5="mL","ml",IF(C5="lb","lbm",IF(C5="----","F",C5)))))))</f>
        <v>17</v>
      </c>
      <c r="E5" s="26"/>
      <c r="F5" s="51"/>
      <c r="G5" s="63">
        <f>IF(F5="oz","ozm",IF(F5="tbsp","tbs",IF(F5="fl oz","oz",IF(F5="L","l",IF(F5="mL","ml",IF(F5="lb","lbm",IF(F5="----","F",F5)))))))</f>
        <v>0</v>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37.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38.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71" customWidth="1"/>
    <col min="2" max="3" width="18" style="71" customWidth="1"/>
    <col min="4" max="256" width="21" style="71" customWidth="1"/>
  </cols>
  <sheetData>
    <row r="1" ht="28" customHeight="1">
      <c r="A1" t="s" s="31">
        <v>19</v>
      </c>
      <c r="B1" s="31"/>
      <c r="C1" s="31"/>
    </row>
    <row r="2" ht="19.5" customHeight="1">
      <c r="A2" s="28"/>
      <c r="B2" t="s" s="28">
        <v>26</v>
      </c>
      <c r="C2" t="s" s="28">
        <v>21</v>
      </c>
    </row>
    <row r="3" ht="22" customHeight="1">
      <c r="A3" s="24"/>
      <c r="B3" s="29">
        <v>10</v>
      </c>
      <c r="C3" s="29">
        <v>0</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G5"/>
  <sheetViews>
    <sheetView workbookViewId="0" showGridLines="0" defaultGridColor="1"/>
  </sheetViews>
  <sheetFormatPr defaultColWidth="9" defaultRowHeight="20.55" customHeight="1" outlineLevelRow="0" outlineLevelCol="0"/>
  <cols>
    <col min="1" max="1" width="21" style="72" customWidth="1"/>
    <col min="2" max="3" width="9" style="72" customWidth="1"/>
    <col min="4" max="4" hidden="1" width="9" style="72" customWidth="1"/>
    <col min="5" max="6" width="9" style="72" customWidth="1"/>
    <col min="7" max="7" hidden="1" width="9" style="72" customWidth="1"/>
    <col min="8" max="256" width="9" style="72" customWidth="1"/>
  </cols>
  <sheetData>
    <row r="1" ht="22.5" customHeight="1">
      <c r="A1" t="s" s="42">
        <v>7</v>
      </c>
      <c r="B1" t="s" s="42">
        <v>8</v>
      </c>
      <c r="C1" s="8"/>
      <c r="D1" s="9"/>
      <c r="E1" t="s" s="42">
        <v>9</v>
      </c>
      <c r="F1" s="8"/>
      <c r="G1" s="9"/>
    </row>
    <row r="2" ht="21.6" customHeight="1">
      <c r="A2" t="s" s="10">
        <v>108</v>
      </c>
      <c r="B2" s="11">
        <v>60</v>
      </c>
      <c r="C2" t="s" s="12">
        <v>11</v>
      </c>
      <c r="D2" t="s" s="12">
        <f>IF(C2="oz","ozm",IF(C2="tbsp","tbs",IF(C2="fl oz","oz",IF(C2="L","l",IF(C2="mL","ml",IF(C2="lb","lbm",IF(C2="----","F",C2)))))))</f>
        <v>11</v>
      </c>
      <c r="E2" s="13">
        <f>IF(AND(D2="F",G2="F"),B2,CONVERT(B2,D2,G2))*'Kabkoub Eggplant - Sample Recip'!$C$3/'Kabkoub Eggplant - Sample Recip'!$B$3</f>
        <v>0</v>
      </c>
      <c r="F2" t="s" s="12">
        <v>11</v>
      </c>
      <c r="G2" t="s" s="12">
        <f>IF(F2="oz","ozm",IF(F2="tbsp","tbs",IF(F2="fl oz","oz",IF(F2="L","l",IF(F2="mL","ml",IF(F2="lb","lbm",IF(F2="----","F",F2)))))))</f>
        <v>11</v>
      </c>
    </row>
    <row r="3" ht="21.25" customHeight="1">
      <c r="A3" t="s" s="14">
        <v>109</v>
      </c>
      <c r="B3" s="15">
        <v>5</v>
      </c>
      <c r="C3" t="s" s="16">
        <v>11</v>
      </c>
      <c r="D3" t="s" s="16">
        <f>IF(C3="oz","ozm",IF(C3="tbsp","tbs",IF(C3="fl oz","oz",IF(C3="L","l",IF(C3="mL","ml",IF(C3="lb","lbm",IF(C3="----","F",C3)))))))</f>
        <v>11</v>
      </c>
      <c r="E3" s="17">
        <f>IF(AND(D3="F",G3="F"),B3,CONVERT(B3,D3,G3))*'Kabkoub Eggplant - Sample Recip'!$C$3/'Kabkoub Eggplant - Sample Recip'!$B$3</f>
        <v>0</v>
      </c>
      <c r="F3" t="s" s="16">
        <v>11</v>
      </c>
      <c r="G3" t="s" s="16">
        <f>IF(F3="oz","ozm",IF(F3="tbsp","tbs",IF(F3="fl oz","oz",IF(F3="L","l",IF(F3="mL","ml",IF(F3="lb","lbm",IF(F3="----","F",F3)))))))</f>
        <v>11</v>
      </c>
    </row>
    <row r="4" ht="21.6" customHeight="1">
      <c r="A4" t="s" s="18">
        <v>61</v>
      </c>
      <c r="B4" t="s" s="66">
        <v>83</v>
      </c>
      <c r="C4" s="20"/>
      <c r="D4" t="s" s="16">
        <f>IF(C4="oz","ozm",IF(C4="tbsp","tbs",IF(C4="fl oz","oz",IF(C4="L","l",IF(C4="mL","ml",IF(C4="lb","lbm",IF(C4="----","F",C4)))))))</f>
      </c>
      <c r="E4" s="21"/>
      <c r="F4" s="45"/>
      <c r="G4" s="44">
        <f>IF(F4="oz","ozm",IF(F4="tbsp","tbs",IF(F4="fl oz","oz",IF(F4="L","l",IF(F4="mL","ml",IF(F4="lb","lbm",IF(F4="----","F",F4)))))))</f>
        <v>0</v>
      </c>
    </row>
    <row r="5" ht="22" customHeight="1">
      <c r="A5" t="s" s="22">
        <v>103</v>
      </c>
      <c r="B5" s="70">
        <v>1</v>
      </c>
      <c r="C5" t="s" s="24">
        <v>17</v>
      </c>
      <c r="D5" t="s" s="25">
        <f>IF(C5="oz","ozm",IF(C5="tbsp","tbs",IF(C5="fl oz","oz",IF(C5="L","l",IF(C5="mL","ml",IF(C5="lb","lbm",IF(C5="----","F",C5)))))))</f>
        <v>17</v>
      </c>
      <c r="E5" s="26"/>
      <c r="F5" s="51"/>
      <c r="G5" s="63">
        <f>IF(F5="oz","ozm",IF(F5="tbsp","tbs",IF(F5="fl oz","oz",IF(F5="L","l",IF(F5="mL","ml",IF(F5="lb","lbm",IF(F5="----","F",F5)))))))</f>
        <v>0</v>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40.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41.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73" customWidth="1"/>
    <col min="2" max="3" width="18" style="73" customWidth="1"/>
    <col min="4" max="256" width="21" style="73" customWidth="1"/>
  </cols>
  <sheetData>
    <row r="1" ht="28" customHeight="1">
      <c r="A1" t="s" s="31">
        <v>19</v>
      </c>
      <c r="B1" s="31"/>
      <c r="C1" s="31"/>
    </row>
    <row r="2" ht="19.5" customHeight="1">
      <c r="A2" s="28"/>
      <c r="B2" t="s" s="28">
        <v>26</v>
      </c>
      <c r="C2" t="s" s="28">
        <v>21</v>
      </c>
    </row>
    <row r="3" ht="22" customHeight="1">
      <c r="A3" s="24"/>
      <c r="B3" s="29">
        <v>10</v>
      </c>
      <c r="C3" s="29">
        <v>0</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1:G8"/>
  <sheetViews>
    <sheetView workbookViewId="0" showGridLines="0" defaultGridColor="1"/>
  </sheetViews>
  <sheetFormatPr defaultColWidth="9" defaultRowHeight="20.55" customHeight="1" outlineLevelRow="0" outlineLevelCol="0"/>
  <cols>
    <col min="1" max="1" width="21" style="74" customWidth="1"/>
    <col min="2" max="3" width="9" style="74" customWidth="1"/>
    <col min="4" max="4" hidden="1" width="9" style="74" customWidth="1"/>
    <col min="5" max="6" width="9" style="74" customWidth="1"/>
    <col min="7" max="7" hidden="1" width="9" style="74" customWidth="1"/>
    <col min="8" max="256" width="9" style="74" customWidth="1"/>
  </cols>
  <sheetData>
    <row r="1" ht="22.5" customHeight="1">
      <c r="A1" t="s" s="75">
        <v>7</v>
      </c>
      <c r="B1" t="s" s="75">
        <v>8</v>
      </c>
      <c r="C1" s="8"/>
      <c r="D1" s="9"/>
      <c r="E1" t="s" s="75">
        <v>9</v>
      </c>
      <c r="F1" s="8"/>
      <c r="G1" s="9"/>
    </row>
    <row r="2" ht="21.6" customHeight="1">
      <c r="A2" t="s" s="10">
        <v>114</v>
      </c>
      <c r="B2" s="11">
        <v>60</v>
      </c>
      <c r="C2" t="s" s="12">
        <v>11</v>
      </c>
      <c r="D2" t="s" s="12">
        <f>IF(C2="oz","ozm",IF(C2="tbsp","tbs",IF(C2="fl oz","oz",IF(C2="L","l",IF(C2="mL","ml",IF(C2="lb","lbm",IF(C2="----","F",C2)))))))</f>
        <v>11</v>
      </c>
      <c r="E2" s="13">
        <f>IF(AND(D2="F",G2="F"),B2,CONVERT(B2,D2,G2))*'Meat Kabkoub - Sample Recipe'!$C$3/'Meat Kabkoub - Sample Recipe'!$B$3</f>
        <v>0</v>
      </c>
      <c r="F2" t="s" s="12">
        <v>11</v>
      </c>
      <c r="G2" t="s" s="12">
        <f>IF(F2="oz","ozm",IF(F2="tbsp","tbs",IF(F2="fl oz","oz",IF(F2="L","l",IF(F2="mL","ml",IF(F2="lb","lbm",IF(F2="----","F",F2)))))))</f>
        <v>11</v>
      </c>
    </row>
    <row r="3" ht="21.25" customHeight="1">
      <c r="A3" t="s" s="14">
        <v>115</v>
      </c>
      <c r="B3" s="15">
        <v>2</v>
      </c>
      <c r="C3" t="s" s="16">
        <v>11</v>
      </c>
      <c r="D3" t="s" s="16">
        <f>IF(C3="oz","ozm",IF(C3="tbsp","tbs",IF(C3="fl oz","oz",IF(C3="L","l",IF(C3="mL","ml",IF(C3="lb","lbm",IF(C3="----","F",C3)))))))</f>
        <v>11</v>
      </c>
      <c r="E3" s="17">
        <f>IF(AND(D3="F",G3="F"),B3,CONVERT(B3,D3,G3))*'Meat Kabkoub - Sample Recipe'!$C$3/'Meat Kabkoub - Sample Recipe'!$B$3</f>
        <v>0</v>
      </c>
      <c r="F3" t="s" s="16">
        <v>11</v>
      </c>
      <c r="G3" t="s" s="16">
        <f>IF(F3="oz","ozm",IF(F3="tbsp","tbs",IF(F3="fl oz","oz",IF(F3="L","l",IF(F3="mL","ml",IF(F3="lb","lbm",IF(F3="----","F",F3)))))))</f>
        <v>11</v>
      </c>
    </row>
    <row r="4" ht="21.6" customHeight="1">
      <c r="A4" t="s" s="18">
        <v>29</v>
      </c>
      <c r="B4" s="15">
        <v>5</v>
      </c>
      <c r="C4" t="s" s="16">
        <v>11</v>
      </c>
      <c r="D4" t="s" s="16">
        <f>IF(C4="oz","ozm",IF(C4="tbsp","tbs",IF(C4="fl oz","oz",IF(C4="L","l",IF(C4="mL","ml",IF(C4="lb","lbm",IF(C4="----","F",C4)))))))</f>
        <v>11</v>
      </c>
      <c r="E4" s="21"/>
      <c r="F4" s="45"/>
      <c r="G4" s="44">
        <f>IF(F4="oz","ozm",IF(F4="tbsp","tbs",IF(F4="fl oz","oz",IF(F4="L","l",IF(F4="mL","ml",IF(F4="lb","lbm",IF(F4="----","F",F4)))))))</f>
        <v>0</v>
      </c>
    </row>
    <row r="5" ht="22" customHeight="1">
      <c r="A5" t="s" s="22">
        <v>103</v>
      </c>
      <c r="B5" s="76">
        <v>0.5</v>
      </c>
      <c r="C5" t="s" s="20">
        <v>17</v>
      </c>
      <c r="D5" t="s" s="16">
        <f>IF(C5="oz","ozm",IF(C5="tbsp","tbs",IF(C5="fl oz","oz",IF(C5="L","l",IF(C5="mL","ml",IF(C5="lb","lbm",IF(C5="----","F",C5)))))))</f>
        <v>17</v>
      </c>
      <c r="E5" s="26"/>
      <c r="F5" s="51"/>
      <c r="G5" s="44">
        <f>IF(F5="oz","ozm",IF(F5="tbsp","tbs",IF(F5="fl oz","oz",IF(F5="L","l",IF(F5="mL","ml",IF(F5="lb","lbm",IF(F5="----","F",F5)))))))</f>
        <v>0</v>
      </c>
    </row>
    <row r="6" ht="22" customHeight="1">
      <c r="A6" t="s" s="22">
        <v>116</v>
      </c>
      <c r="B6" s="77"/>
      <c r="C6" s="24"/>
      <c r="D6" t="s" s="16">
        <f>IF(C6="oz","ozm",IF(C6="tbsp","tbs",IF(C6="fl oz","oz",IF(C6="L","l",IF(C6="mL","ml",IF(C6="lb","lbm",IF(C6="----","F",C6)))))))</f>
      </c>
      <c r="E6" s="26"/>
      <c r="F6" s="24"/>
      <c r="G6" t="s" s="16">
        <f>IF(F6="oz","ozm",IF(F6="tbsp","tbs",IF(F6="fl oz","oz",IF(F6="L","l",IF(F6="mL","ml",IF(F6="lb","lbm",IF(F6="----","F",F6)))))))</f>
      </c>
    </row>
    <row r="7" ht="34.6" customHeight="1">
      <c r="A7" t="s" s="10">
        <v>117</v>
      </c>
      <c r="B7" s="11"/>
      <c r="C7" s="12"/>
      <c r="D7" t="s" s="16">
        <f>IF(C7="oz","ozm",IF(C7="tbsp","tbs",IF(C7="fl oz","oz",IF(C7="L","l",IF(C7="mL","ml",IF(C7="lb","lbm",IF(C7="----","F",C7)))))))</f>
      </c>
      <c r="E7" s="13"/>
      <c r="F7" s="12"/>
      <c r="G7" t="s" s="16">
        <f>IF(F7="oz","ozm",IF(F7="tbsp","tbs",IF(F7="fl oz","oz",IF(F7="L","l",IF(F7="mL","ml",IF(F7="lb","lbm",IF(F7="----","F",F7)))))))</f>
      </c>
    </row>
    <row r="8" ht="21.1" customHeight="1">
      <c r="A8" t="s" s="78">
        <v>30</v>
      </c>
      <c r="B8" s="79">
        <v>0.25</v>
      </c>
      <c r="C8" t="s" s="25">
        <v>17</v>
      </c>
      <c r="D8" t="s" s="25">
        <f>IF(C8="oz","ozm",IF(C8="tbsp","tbs",IF(C8="fl oz","oz",IF(C8="L","l",IF(C8="mL","ml",IF(C8="lb","lbm",IF(C8="----","F",C8)))))))</f>
        <v>17</v>
      </c>
      <c r="E8" s="80"/>
      <c r="F8" s="81"/>
      <c r="G8" s="63">
        <f>IF(F8="oz","ozm",IF(F8="tbsp","tbs",IF(F8="fl oz","oz",IF(F8="L","l",IF(F8="mL","ml",IF(F8="lb","lbm",IF(F8="----","F",F8)))))))</f>
        <v>0</v>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43.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44.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82" customWidth="1"/>
    <col min="2" max="3" width="18" style="82" customWidth="1"/>
    <col min="4" max="256" width="21" style="82" customWidth="1"/>
  </cols>
  <sheetData>
    <row r="1" ht="28" customHeight="1">
      <c r="A1" t="s" s="31">
        <v>19</v>
      </c>
      <c r="B1" s="31"/>
      <c r="C1" s="31"/>
    </row>
    <row r="2" ht="19.5" customHeight="1">
      <c r="A2" s="28"/>
      <c r="B2" t="s" s="28">
        <v>26</v>
      </c>
      <c r="C2" t="s" s="28">
        <v>21</v>
      </c>
    </row>
    <row r="3" ht="22" customHeight="1">
      <c r="A3" s="24"/>
      <c r="B3" s="29">
        <v>10</v>
      </c>
      <c r="C3" s="29">
        <v>0</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45.xml><?xml version="1.0" encoding="utf-8"?>
<worksheet xmlns:r="http://schemas.openxmlformats.org/officeDocument/2006/relationships" xmlns="http://schemas.openxmlformats.org/spreadsheetml/2006/main">
  <sheetPr>
    <pageSetUpPr fitToPage="1"/>
  </sheetPr>
  <dimension ref="A1:G2"/>
  <sheetViews>
    <sheetView workbookViewId="0" showGridLines="0" defaultGridColor="1"/>
  </sheetViews>
  <sheetFormatPr defaultColWidth="9" defaultRowHeight="20.55" customHeight="1" outlineLevelRow="0" outlineLevelCol="0"/>
  <cols>
    <col min="1" max="1" width="21" style="83" customWidth="1"/>
    <col min="2" max="3" width="9" style="83" customWidth="1"/>
    <col min="4" max="4" hidden="1" width="9" style="83" customWidth="1"/>
    <col min="5" max="6" width="9" style="83" customWidth="1"/>
    <col min="7" max="7" hidden="1" width="9" style="83" customWidth="1"/>
    <col min="8" max="256" width="9" style="83" customWidth="1"/>
  </cols>
  <sheetData>
    <row r="1" ht="23.5" customHeight="1">
      <c r="A1" t="s" s="33">
        <v>7</v>
      </c>
      <c r="B1" t="s" s="33">
        <v>8</v>
      </c>
      <c r="C1" s="8"/>
      <c r="D1" s="9"/>
      <c r="E1" t="s" s="33">
        <v>9</v>
      </c>
      <c r="F1" s="8"/>
      <c r="G1" s="9"/>
    </row>
    <row r="2" ht="21.5" customHeight="1">
      <c r="A2" t="s" s="84">
        <v>122</v>
      </c>
      <c r="B2" s="85">
        <v>60</v>
      </c>
      <c r="C2" t="s" s="86">
        <v>11</v>
      </c>
      <c r="D2" t="s" s="86">
        <f>IF(C2="oz","ozm",IF(C2="tbsp","tbs",IF(C2="fl oz","oz",IF(C2="L","l",IF(C2="mL","ml",IF(C2="lb","lbm",IF(C2="----","F",C2)))))))</f>
        <v>11</v>
      </c>
      <c r="E2" s="87">
        <f>IF(AND(D2="F",G2="F"),B2,CONVERT(B2,D2,G2))*'Tzatziki Kabkoub - Sample Recip'!$C$3/'Tzatziki Kabkoub - Sample Recip'!$B$3</f>
        <v>0</v>
      </c>
      <c r="F2" t="s" s="86">
        <v>11</v>
      </c>
      <c r="G2" t="s" s="86">
        <f>IF(F2="oz","ozm",IF(F2="tbsp","tbs",IF(F2="fl oz","oz",IF(F2="L","l",IF(F2="mL","ml",IF(F2="lb","lbm",IF(F2="----","F",F2)))))))</f>
        <v>11</v>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46.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47.xml><?xml version="1.0" encoding="utf-8"?>
<worksheet xmlns:r="http://schemas.openxmlformats.org/officeDocument/2006/relationships" xmlns="http://schemas.openxmlformats.org/spreadsheetml/2006/main">
  <sheetPr>
    <pageSetUpPr fitToPage="1"/>
  </sheetPr>
  <dimension ref="A1:G8"/>
  <sheetViews>
    <sheetView workbookViewId="0" showGridLines="0" defaultGridColor="1"/>
  </sheetViews>
  <sheetFormatPr defaultColWidth="9" defaultRowHeight="20.55" customHeight="1" outlineLevelRow="0" outlineLevelCol="0"/>
  <cols>
    <col min="1" max="1" width="21" style="88" customWidth="1"/>
    <col min="2" max="3" width="9" style="88" customWidth="1"/>
    <col min="4" max="4" hidden="1" width="9" style="88" customWidth="1"/>
    <col min="5" max="6" width="9" style="88" customWidth="1"/>
    <col min="7" max="7" hidden="1" width="9" style="88" customWidth="1"/>
    <col min="8" max="256" width="9" style="88" customWidth="1"/>
  </cols>
  <sheetData>
    <row r="1" ht="23.5" customHeight="1">
      <c r="A1" t="s" s="33">
        <v>7</v>
      </c>
      <c r="B1" t="s" s="33">
        <v>8</v>
      </c>
      <c r="C1" s="8"/>
      <c r="D1" s="9"/>
      <c r="E1" t="s" s="33">
        <v>9</v>
      </c>
      <c r="F1" s="8"/>
      <c r="G1" s="9"/>
    </row>
    <row r="2" ht="21.6" customHeight="1">
      <c r="A2" t="s" s="10">
        <v>126</v>
      </c>
      <c r="B2" s="11">
        <v>20</v>
      </c>
      <c r="C2" t="s" s="12">
        <v>11</v>
      </c>
      <c r="D2" t="s" s="12">
        <f>IF(C2="oz","ozm",IF(C2="tbsp","tbs",IF(C2="fl oz","oz",IF(C2="L","l",IF(C2="mL","ml",IF(C2="lb","lbm",IF(C2="----","F",C2)))))))</f>
        <v>11</v>
      </c>
      <c r="E2" s="13"/>
      <c r="F2" t="s" s="12">
        <v>11</v>
      </c>
      <c r="G2" t="s" s="12">
        <f>IF(F2="oz","ozm",IF(F2="tbsp","tbs",IF(F2="fl oz","oz",IF(F2="L","l",IF(F2="mL","ml",IF(F2="lb","lbm",IF(F2="----","F",F2)))))))</f>
        <v>11</v>
      </c>
    </row>
    <row r="3" ht="21.25" customHeight="1">
      <c r="A3" t="s" s="14">
        <v>12</v>
      </c>
      <c r="B3" s="15">
        <v>20</v>
      </c>
      <c r="C3" t="s" s="16">
        <v>11</v>
      </c>
      <c r="D3" s="43"/>
      <c r="E3" s="17"/>
      <c r="F3" t="s" s="16">
        <v>11</v>
      </c>
      <c r="G3" s="43"/>
    </row>
    <row r="4" ht="21.25" customHeight="1">
      <c r="A4" t="s" s="14">
        <v>60</v>
      </c>
      <c r="B4" s="15">
        <v>15</v>
      </c>
      <c r="C4" t="s" s="16">
        <v>11</v>
      </c>
      <c r="D4" s="43"/>
      <c r="E4" s="17"/>
      <c r="F4" t="s" s="16">
        <v>11</v>
      </c>
      <c r="G4" s="43"/>
    </row>
    <row r="5" ht="21.25" customHeight="1">
      <c r="A5" t="s" s="14">
        <v>29</v>
      </c>
      <c r="B5" s="15">
        <v>8</v>
      </c>
      <c r="C5" t="s" s="16">
        <v>11</v>
      </c>
      <c r="D5" s="43"/>
      <c r="E5" s="17"/>
      <c r="F5" t="s" s="16">
        <v>17</v>
      </c>
      <c r="G5" s="43"/>
    </row>
    <row r="6" ht="21.25" customHeight="1">
      <c r="A6" t="s" s="14">
        <v>16</v>
      </c>
      <c r="B6" s="89"/>
      <c r="C6" t="s" s="90">
        <v>83</v>
      </c>
      <c r="D6" s="43"/>
      <c r="E6" s="17"/>
      <c r="F6" t="s" s="16">
        <v>17</v>
      </c>
      <c r="G6" s="43"/>
    </row>
    <row r="7" ht="21.25" customHeight="1">
      <c r="A7" t="s" s="14">
        <v>41</v>
      </c>
      <c r="B7" s="89"/>
      <c r="C7" t="s" s="90">
        <v>83</v>
      </c>
      <c r="D7" s="43"/>
      <c r="E7" s="17"/>
      <c r="F7" t="s" s="16">
        <v>17</v>
      </c>
      <c r="G7" s="43"/>
    </row>
    <row r="8" ht="21.1" customHeight="1">
      <c r="A8" t="s" s="78">
        <v>61</v>
      </c>
      <c r="B8" s="91"/>
      <c r="C8" t="s" s="92">
        <v>83</v>
      </c>
      <c r="D8" s="81"/>
      <c r="E8" s="80"/>
      <c r="F8" t="s" s="25">
        <v>17</v>
      </c>
      <c r="G8" s="81"/>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48.xml><?xml version="1.0" encoding="utf-8"?>
<worksheet xmlns:r="http://schemas.openxmlformats.org/officeDocument/2006/relationships" xmlns="http://schemas.openxmlformats.org/spreadsheetml/2006/main">
  <sheetPr>
    <pageSetUpPr fitToPage="1"/>
  </sheetPr>
  <dimension ref="A1:G8"/>
  <sheetViews>
    <sheetView workbookViewId="0" showGridLines="0" defaultGridColor="1"/>
  </sheetViews>
  <sheetFormatPr defaultColWidth="9" defaultRowHeight="20.55" customHeight="1" outlineLevelRow="0" outlineLevelCol="0"/>
  <cols>
    <col min="1" max="1" width="21" style="93" customWidth="1"/>
    <col min="2" max="3" width="9" style="93" customWidth="1"/>
    <col min="4" max="4" hidden="1" width="9" style="93" customWidth="1"/>
    <col min="5" max="6" width="9" style="93" customWidth="1"/>
    <col min="7" max="7" hidden="1" width="9" style="93" customWidth="1"/>
    <col min="8" max="256" width="9" style="93" customWidth="1"/>
  </cols>
  <sheetData>
    <row r="1" ht="23.5" customHeight="1">
      <c r="A1" t="s" s="33">
        <v>7</v>
      </c>
      <c r="B1" t="s" s="33">
        <v>8</v>
      </c>
      <c r="C1" s="8"/>
      <c r="D1" s="9"/>
      <c r="E1" t="s" s="33">
        <v>9</v>
      </c>
      <c r="F1" s="8"/>
      <c r="G1" s="9"/>
    </row>
    <row r="2" ht="21.6" customHeight="1">
      <c r="A2" t="s" s="10">
        <v>129</v>
      </c>
      <c r="B2" s="11">
        <v>20</v>
      </c>
      <c r="C2" t="s" s="12">
        <v>11</v>
      </c>
      <c r="D2" t="s" s="12">
        <f>IF(C2="oz","ozm",IF(C2="tbsp","tbs",IF(C2="fl oz","oz",IF(C2="L","l",IF(C2="mL","ml",IF(C2="lb","lbm",IF(C2="----","F",C2)))))))</f>
        <v>11</v>
      </c>
      <c r="E2" s="13"/>
      <c r="F2" s="12"/>
      <c r="G2" t="s" s="12">
        <f>IF(F2="oz","ozm",IF(F2="tbsp","tbs",IF(F2="fl oz","oz",IF(F2="L","l",IF(F2="mL","ml",IF(F2="lb","lbm",IF(F2="----","F",F2)))))))</f>
      </c>
    </row>
    <row r="3" ht="21.25" customHeight="1">
      <c r="A3" t="s" s="14">
        <v>12</v>
      </c>
      <c r="B3" s="15">
        <v>20</v>
      </c>
      <c r="C3" t="s" s="16">
        <v>11</v>
      </c>
      <c r="D3" s="43"/>
      <c r="E3" s="17"/>
      <c r="F3" s="16"/>
      <c r="G3" s="43"/>
    </row>
    <row r="4" ht="21.25" customHeight="1">
      <c r="A4" t="s" s="14">
        <v>60</v>
      </c>
      <c r="B4" s="15">
        <v>15</v>
      </c>
      <c r="C4" t="s" s="16">
        <v>11</v>
      </c>
      <c r="D4" s="43"/>
      <c r="E4" s="17"/>
      <c r="F4" s="16"/>
      <c r="G4" s="43"/>
    </row>
    <row r="5" ht="21.25" customHeight="1">
      <c r="A5" t="s" s="14">
        <v>29</v>
      </c>
      <c r="B5" s="15">
        <v>8</v>
      </c>
      <c r="C5" t="s" s="16">
        <v>11</v>
      </c>
      <c r="D5" s="43"/>
      <c r="E5" s="17"/>
      <c r="F5" s="16"/>
      <c r="G5" s="43"/>
    </row>
    <row r="6" ht="21.25" customHeight="1">
      <c r="A6" t="s" s="14">
        <v>16</v>
      </c>
      <c r="B6" s="15"/>
      <c r="C6" t="s" s="90">
        <v>83</v>
      </c>
      <c r="D6" s="43"/>
      <c r="E6" s="17"/>
      <c r="F6" s="16"/>
      <c r="G6" s="43"/>
    </row>
    <row r="7" ht="21.25" customHeight="1">
      <c r="A7" t="s" s="14">
        <v>41</v>
      </c>
      <c r="B7" s="15"/>
      <c r="C7" t="s" s="90">
        <v>83</v>
      </c>
      <c r="D7" s="43"/>
      <c r="E7" s="17"/>
      <c r="F7" s="16"/>
      <c r="G7" s="43"/>
    </row>
    <row r="8" ht="21.1" customHeight="1">
      <c r="A8" t="s" s="78">
        <v>61</v>
      </c>
      <c r="B8" s="79"/>
      <c r="C8" t="s" s="92">
        <v>83</v>
      </c>
      <c r="D8" s="81"/>
      <c r="E8" s="80"/>
      <c r="F8" s="25"/>
      <c r="G8" s="81"/>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49.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50.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