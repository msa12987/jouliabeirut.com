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 xWindow="0" yWindow="40" windowWidth="15960" windowHeight="18080"/>
  </bookViews>
  <sheets>
    <sheet name="Mamdoudé" sheetId="1" r:id="rId4"/>
    <sheet name="Bl Sayniyé" sheetId="2" r:id="rId5"/>
    <sheet name="Feta Kebbé" sheetId="3" r:id="rId6"/>
    <sheet name="Onion &amp; Pine" sheetId="4" r:id="rId7"/>
    <sheet name="Nayyé" sheetId="5" r:id="rId8"/>
    <sheet name="Hommos Kebbé" sheetId="6" r:id="rId9"/>
    <sheet name="Bou Emné" sheetId="7" r:id="rId10"/>
    <sheet name="La'tine" sheetId="8" r:id="rId11"/>
    <sheet name="Spiced Butter E'rass" sheetId="9" r:id="rId12"/>
    <sheet name="Kabkoub Acovado" sheetId="10" r:id="rId13"/>
    <sheet name="Kabkoub Feta" sheetId="11" r:id="rId14"/>
    <sheet name="Kabkoub Onion" sheetId="12" r:id="rId15"/>
    <sheet name="Kabkoub Eggplant" sheetId="13" r:id="rId16"/>
    <sheet name="Meat Kabkoub" sheetId="14" r:id="rId17"/>
    <sheet name="Tzatziki Kabkoub" sheetId="15" r:id="rId18"/>
    <sheet name="Vegan Tartelettes" sheetId="16" r:id="rId19"/>
    <sheet name="Other - Outsourced" sheetId="17" r:id="rId20"/>
  </sheets>
</workbook>
</file>

<file path=xl/sharedStrings.xml><?xml version="1.0" encoding="utf-8"?>
<sst xmlns="http://schemas.openxmlformats.org/spreadsheetml/2006/main" uniqueCount="60">
  <si>
    <t>Ingredient</t>
  </si>
  <si>
    <t>Regular</t>
  </si>
  <si>
    <t>Small</t>
  </si>
  <si>
    <t>Meat</t>
  </si>
  <si>
    <t>g</t>
  </si>
  <si>
    <t>Borghol</t>
  </si>
  <si>
    <t>Olive Oil</t>
  </si>
  <si>
    <t>mL</t>
  </si>
  <si>
    <t>ml</t>
  </si>
  <si>
    <t>Salt</t>
  </si>
  <si>
    <t>tsp</t>
  </si>
  <si>
    <t>Ground Pepper</t>
  </si>
  <si>
    <t>Prepared for</t>
  </si>
  <si>
    <t>Sample Recipe</t>
  </si>
  <si>
    <t>Recipe serves</t>
  </si>
  <si>
    <t>Pine nuts</t>
  </si>
  <si>
    <t>Onion</t>
  </si>
  <si>
    <t>Butter</t>
  </si>
  <si>
    <t>tbsp</t>
  </si>
  <si>
    <t>tbs</t>
  </si>
  <si>
    <t>Pomegranate Molasse</t>
  </si>
  <si>
    <t>Feta</t>
  </si>
  <si>
    <t>Walnuts</t>
  </si>
  <si>
    <t>Oregano</t>
  </si>
  <si>
    <t>White Pepper</t>
  </si>
  <si>
    <t>Paprika</t>
  </si>
  <si>
    <t>Black Pepper</t>
  </si>
  <si>
    <t>Spring Onion</t>
  </si>
  <si>
    <t>Mint</t>
  </si>
  <si>
    <t>Chickpeas</t>
  </si>
  <si>
    <t>cup</t>
  </si>
  <si>
    <t>Flour</t>
  </si>
  <si>
    <t>Dried Mint</t>
  </si>
  <si>
    <t>Crushed Kaak</t>
  </si>
  <si>
    <t>Pomegranate</t>
  </si>
  <si>
    <t>Cumin</t>
  </si>
  <si>
    <t>Pumpkin</t>
  </si>
  <si>
    <t>kg</t>
  </si>
  <si>
    <t>Spinach</t>
  </si>
  <si>
    <t>Summac</t>
  </si>
  <si>
    <t>Lemon Zest</t>
  </si>
  <si>
    <t>Red Pepper</t>
  </si>
  <si>
    <t>Pinch</t>
  </si>
  <si>
    <t>Dried Mind</t>
  </si>
  <si>
    <t>Labneh</t>
  </si>
  <si>
    <t>Avocado</t>
  </si>
  <si>
    <t>Lemon Juice</t>
  </si>
  <si>
    <t>Walsnuts</t>
  </si>
  <si>
    <t>3g</t>
  </si>
  <si>
    <t>Dried Almonds</t>
  </si>
  <si>
    <t>Pom. Molasses</t>
  </si>
  <si>
    <t>Eggplant</t>
  </si>
  <si>
    <t>Pomegrante</t>
  </si>
  <si>
    <t>Minced Meat</t>
  </si>
  <si>
    <t>Pine Nuts</t>
  </si>
  <si>
    <t>Pinch Salt</t>
  </si>
  <si>
    <t>Pinch Ground Pepper</t>
  </si>
  <si>
    <t>Tzatziki Sauce</t>
  </si>
  <si>
    <t>Hommos</t>
  </si>
  <si>
    <t>Tahini Sauce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</si>
</sst>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# ###/###"/>
  </numFmts>
  <fonts count="13">
    <font>
      <sz val="10"/>
      <color indexed="8"/>
      <name val="Baskerville"/>
    </font>
    <font>
      <sz val="10"/>
      <color indexed="9"/>
      <name val="Baskerville"/>
    </font>
    <font>
      <sz val="11"/>
      <color indexed="9"/>
      <name val="Baskerville"/>
    </font>
    <font>
      <sz val="12"/>
      <color indexed="10"/>
      <name val="Baskerville SemiBold"/>
    </font>
    <font>
      <sz val="13"/>
      <color indexed="10"/>
      <name val="Baskerville SemiBold"/>
    </font>
    <font>
      <sz val="10"/>
      <color indexed="10"/>
      <name val="Baskerville SemiBold"/>
    </font>
    <font>
      <b val="1"/>
      <sz val="11"/>
      <color indexed="9"/>
      <name val="Baskerville"/>
    </font>
    <font>
      <sz val="32"/>
      <color indexed="15"/>
      <name val="Baskerville"/>
    </font>
    <font>
      <sz val="14"/>
      <color indexed="10"/>
      <name val="Baskerville SemiBold"/>
    </font>
    <font>
      <b val="1"/>
      <sz val="12"/>
      <color indexed="10"/>
      <name val="Georgia"/>
    </font>
    <font>
      <b val="1"/>
      <u val="single"/>
      <sz val="12"/>
      <color indexed="10"/>
      <name val="Georgia"/>
    </font>
    <font>
      <b val="1"/>
      <i val="1"/>
      <u val="single"/>
      <sz val="12"/>
      <color indexed="10"/>
      <name val="Georgia"/>
    </font>
    <font>
      <b val="1"/>
      <sz val="19"/>
      <color indexed="9"/>
      <name val="Baskerville"/>
    </font>
  </fonts>
  <fills count="5">
    <fill>
      <patternFill patternType="none"/>
    </fill>
    <fill>
      <patternFill patternType="gray125"/>
    </fill>
    <fill>
      <patternFill patternType="solid">
        <fgColor indexed="11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6"/>
        <bgColor auto="1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12"/>
      </bottom>
      <diagonal/>
    </border>
    <border>
      <left/>
      <right/>
      <top style="thin">
        <color indexed="12"/>
      </top>
      <bottom style="thin">
        <color indexed="13"/>
      </bottom>
      <diagonal/>
    </border>
    <border>
      <left/>
      <right/>
      <top style="thin">
        <color indexed="13"/>
      </top>
      <bottom style="thin">
        <color indexed="13"/>
      </bottom>
      <diagonal/>
    </border>
    <border>
      <left/>
      <right/>
      <top style="thin">
        <color indexed="13"/>
      </top>
      <bottom style="thin">
        <color indexed="12"/>
      </bottom>
      <diagonal/>
    </border>
    <border>
      <left/>
      <right/>
      <top style="thin">
        <color indexed="12"/>
      </top>
      <bottom style="thin">
        <color indexed="12"/>
      </bottom>
      <diagonal/>
    </border>
    <border>
      <left/>
      <right/>
      <top style="thin">
        <color indexed="13"/>
      </top>
      <bottom/>
      <diagonal/>
    </border>
    <border>
      <left/>
      <right/>
      <top style="thin">
        <color indexed="12"/>
      </top>
      <bottom/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89">
    <xf numFmtId="0" fontId="0" applyNumberFormat="0" applyFont="1" applyFill="0" applyBorder="0" applyAlignment="1" applyProtection="0">
      <alignment vertical="top" wrapText="1"/>
    </xf>
    <xf numFmtId="0" fontId="2" applyNumberFormat="1" applyFont="1" applyFill="0" applyBorder="0" applyAlignment="1" applyProtection="0">
      <alignment vertical="top" wrapText="1"/>
    </xf>
    <xf numFmtId="49" fontId="4" fillId="2" borderId="1" applyNumberFormat="1" applyFont="1" applyFill="1" applyBorder="1" applyAlignment="1" applyProtection="0">
      <alignment horizontal="center" vertical="top" wrapText="1"/>
    </xf>
    <xf numFmtId="0" fontId="5" fillId="2" borderId="1" applyNumberFormat="0" applyFont="1" applyFill="1" applyBorder="1" applyAlignment="1" applyProtection="0">
      <alignment vertical="top" wrapText="1"/>
    </xf>
    <xf numFmtId="49" fontId="5" fillId="2" borderId="1" applyNumberFormat="1" applyFont="1" applyFill="1" applyBorder="1" applyAlignment="1" applyProtection="0">
      <alignment vertical="top" wrapText="1"/>
    </xf>
    <xf numFmtId="49" fontId="6" borderId="2" applyNumberFormat="1" applyFont="1" applyFill="0" applyBorder="1" applyAlignment="1" applyProtection="0">
      <alignment vertical="top" wrapText="1"/>
    </xf>
    <xf numFmtId="59" fontId="2" fillId="3" borderId="2" applyNumberFormat="1" applyFont="1" applyFill="1" applyBorder="1" applyAlignment="1" applyProtection="0">
      <alignment vertical="top" wrapText="1"/>
    </xf>
    <xf numFmtId="49" fontId="2" borderId="2" applyNumberFormat="1" applyFont="1" applyFill="0" applyBorder="1" applyAlignment="1" applyProtection="0">
      <alignment vertical="top" wrapText="1"/>
    </xf>
    <xf numFmtId="59" fontId="2" borderId="2" applyNumberFormat="1" applyFont="1" applyFill="0" applyBorder="1" applyAlignment="1" applyProtection="0">
      <alignment vertical="top" wrapText="1"/>
    </xf>
    <xf numFmtId="49" fontId="6" borderId="3" applyNumberFormat="1" applyFont="1" applyFill="0" applyBorder="1" applyAlignment="1" applyProtection="0">
      <alignment vertical="top" wrapText="1"/>
    </xf>
    <xf numFmtId="59" fontId="2" fillId="3" borderId="3" applyNumberFormat="1" applyFont="1" applyFill="1" applyBorder="1" applyAlignment="1" applyProtection="0">
      <alignment vertical="top" wrapText="1"/>
    </xf>
    <xf numFmtId="49" fontId="2" borderId="3" applyNumberFormat="1" applyFont="1" applyFill="0" applyBorder="1" applyAlignment="1" applyProtection="0">
      <alignment vertical="top" wrapText="1"/>
    </xf>
    <xf numFmtId="59" fontId="2" borderId="3" applyNumberFormat="1" applyFont="1" applyFill="0" applyBorder="1" applyAlignment="1" applyProtection="0">
      <alignment vertical="top" wrapText="1"/>
    </xf>
    <xf numFmtId="49" fontId="6" borderId="4" applyNumberFormat="1" applyFont="1" applyFill="0" applyBorder="1" applyAlignment="1" applyProtection="0">
      <alignment vertical="top" wrapText="1"/>
    </xf>
    <xf numFmtId="59" fontId="2" fillId="3" borderId="4" applyNumberFormat="1" applyFont="1" applyFill="1" applyBorder="1" applyAlignment="1" applyProtection="0">
      <alignment vertical="top" wrapText="1"/>
    </xf>
    <xf numFmtId="49" fontId="2" borderId="4" applyNumberFormat="1" applyFont="1" applyFill="0" applyBorder="1" applyAlignment="1" applyProtection="0">
      <alignment vertical="top" wrapText="1"/>
    </xf>
    <xf numFmtId="59" fontId="2" borderId="4" applyNumberFormat="1" applyFont="1" applyFill="0" applyBorder="1" applyAlignment="1" applyProtection="0">
      <alignment vertical="top" wrapText="1"/>
    </xf>
    <xf numFmtId="49" fontId="6" borderId="5" applyNumberFormat="1" applyFont="1" applyFill="0" applyBorder="1" applyAlignment="1" applyProtection="0">
      <alignment vertical="top" wrapText="1"/>
    </xf>
    <xf numFmtId="59" fontId="2" fillId="3" borderId="5" applyNumberFormat="1" applyFont="1" applyFill="1" applyBorder="1" applyAlignment="1" applyProtection="0">
      <alignment vertical="top" wrapText="1"/>
    </xf>
    <xf numFmtId="49" fontId="2" borderId="5" applyNumberFormat="1" applyFont="1" applyFill="0" applyBorder="1" applyAlignment="1" applyProtection="0">
      <alignment vertical="top" wrapText="1"/>
    </xf>
    <xf numFmtId="49" fontId="2" borderId="6" applyNumberFormat="1" applyFont="1" applyFill="0" applyBorder="1" applyAlignment="1" applyProtection="0">
      <alignment vertical="top" wrapText="1"/>
    </xf>
    <xf numFmtId="59" fontId="2" borderId="5" applyNumberFormat="1" applyFont="1" applyFill="0" applyBorder="1" applyAlignment="1" applyProtection="0">
      <alignment vertical="top" wrapText="1"/>
    </xf>
    <xf numFmtId="0" fontId="2" applyNumberFormat="1" applyFont="1" applyFill="0" applyBorder="0" applyAlignment="1" applyProtection="0">
      <alignment vertical="top" wrapText="1"/>
    </xf>
    <xf numFmtId="49" fontId="5" fillId="2" borderId="1" applyNumberFormat="1" applyFont="1" applyFill="1" applyBorder="1" applyAlignment="1" applyProtection="0">
      <alignment horizontal="center" vertical="top" wrapText="1"/>
    </xf>
    <xf numFmtId="1" fontId="2" fillId="3" borderId="5" applyNumberFormat="1" applyFont="1" applyFill="1" applyBorder="1" applyAlignment="1" applyProtection="0">
      <alignment vertical="top" wrapText="1"/>
    </xf>
    <xf numFmtId="0" fontId="2" applyNumberFormat="1" applyFont="1" applyFill="0" applyBorder="0" applyAlignment="1" applyProtection="0">
      <alignment vertical="top" wrapText="1"/>
    </xf>
    <xf numFmtId="0" fontId="3" applyNumberFormat="0" applyFont="1" applyFill="0" applyBorder="0" applyAlignment="1" applyProtection="0">
      <alignment horizontal="center" vertical="center"/>
    </xf>
    <xf numFmtId="0" fontId="2" applyNumberFormat="1" applyFont="1" applyFill="0" applyBorder="0" applyAlignment="1" applyProtection="0">
      <alignment vertical="top" wrapText="1"/>
    </xf>
    <xf numFmtId="49" fontId="4" fillId="2" borderId="1" applyNumberFormat="1" applyFont="1" applyFill="1" applyBorder="1" applyAlignment="1" applyProtection="0">
      <alignment vertical="top" wrapText="1"/>
    </xf>
    <xf numFmtId="0" fontId="2" applyNumberFormat="1" applyFont="1" applyFill="0" applyBorder="0" applyAlignment="1" applyProtection="0">
      <alignment vertical="top" wrapText="1"/>
    </xf>
    <xf numFmtId="49" fontId="2" fillId="4" borderId="5" applyNumberFormat="1" applyFont="1" applyFill="1" applyBorder="1" applyAlignment="1" applyProtection="0">
      <alignment vertical="top" wrapText="1"/>
    </xf>
    <xf numFmtId="0" fontId="2" applyNumberFormat="1" applyFont="1" applyFill="0" applyBorder="0" applyAlignment="1" applyProtection="0">
      <alignment vertical="top" wrapText="1"/>
    </xf>
    <xf numFmtId="49" fontId="8" fillId="2" borderId="1" applyNumberFormat="1" applyFont="1" applyFill="1" applyBorder="1" applyAlignment="1" applyProtection="0">
      <alignment vertical="top" wrapText="1"/>
    </xf>
    <xf numFmtId="0" fontId="2" applyNumberFormat="1" applyFont="1" applyFill="0" applyBorder="0" applyAlignment="1" applyProtection="0">
      <alignment vertical="top" wrapText="1"/>
    </xf>
    <xf numFmtId="0" fontId="2" applyNumberFormat="1" applyFont="1" applyFill="0" applyBorder="0" applyAlignment="1" applyProtection="0">
      <alignment vertical="top" wrapText="1"/>
    </xf>
    <xf numFmtId="0" fontId="2" applyNumberFormat="1" applyFont="1" applyFill="0" applyBorder="0" applyAlignment="1" applyProtection="0">
      <alignment vertical="top" wrapText="1"/>
    </xf>
    <xf numFmtId="0" fontId="2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0" fontId="2" borderId="3" applyNumberFormat="0" applyFont="1" applyFill="0" applyBorder="1" applyAlignment="1" applyProtection="0">
      <alignment vertical="top" wrapText="1"/>
    </xf>
    <xf numFmtId="0" fontId="2" borderId="3" applyNumberFormat="1" applyFont="1" applyFill="0" applyBorder="1" applyAlignment="1" applyProtection="0">
      <alignment vertical="top" wrapText="1"/>
    </xf>
    <xf numFmtId="0" fontId="2" borderId="4" applyNumberFormat="0" applyFont="1" applyFill="0" applyBorder="1" applyAlignment="1" applyProtection="0">
      <alignment vertical="top" wrapText="1"/>
    </xf>
    <xf numFmtId="0" fontId="2" borderId="4" applyNumberFormat="1" applyFont="1" applyFill="0" applyBorder="1" applyAlignment="1" applyProtection="0">
      <alignment vertical="top" wrapText="1"/>
    </xf>
    <xf numFmtId="0" fontId="2" applyNumberFormat="1" applyFont="1" applyFill="0" applyBorder="0" applyAlignment="1" applyProtection="0">
      <alignment vertical="top" wrapText="1"/>
    </xf>
    <xf numFmtId="0" fontId="2" applyNumberFormat="1" applyFont="1" applyFill="0" applyBorder="0" applyAlignment="1" applyProtection="0">
      <alignment vertical="top" wrapText="1"/>
    </xf>
    <xf numFmtId="0" fontId="2" applyNumberFormat="1" applyFont="1" applyFill="0" applyBorder="0" applyAlignment="1" applyProtection="0">
      <alignment vertical="top" wrapText="1"/>
    </xf>
    <xf numFmtId="0" fontId="2" applyNumberFormat="1" applyFont="1" applyFill="0" applyBorder="0" applyAlignment="1" applyProtection="0">
      <alignment vertical="top" wrapText="1"/>
    </xf>
    <xf numFmtId="0" fontId="2" borderId="5" applyNumberFormat="0" applyFont="1" applyFill="0" applyBorder="1" applyAlignment="1" applyProtection="0">
      <alignment vertical="top" wrapText="1"/>
    </xf>
    <xf numFmtId="0" fontId="2" borderId="5" applyNumberFormat="1" applyFont="1" applyFill="0" applyBorder="1" applyAlignment="1" applyProtection="0">
      <alignment vertical="top" wrapText="1"/>
    </xf>
    <xf numFmtId="0" fontId="2" applyNumberFormat="1" applyFont="1" applyFill="0" applyBorder="0" applyAlignment="1" applyProtection="0">
      <alignment vertical="top" wrapText="1"/>
    </xf>
    <xf numFmtId="0" fontId="2" applyNumberFormat="1" applyFont="1" applyFill="0" applyBorder="0" applyAlignment="1" applyProtection="0">
      <alignment vertical="top" wrapText="1"/>
    </xf>
    <xf numFmtId="0" fontId="2" applyNumberFormat="1" applyFont="1" applyFill="0" applyBorder="0" applyAlignment="1" applyProtection="0">
      <alignment vertical="top" wrapText="1"/>
    </xf>
    <xf numFmtId="0" fontId="2" applyNumberFormat="1" applyFont="1" applyFill="0" applyBorder="0" applyAlignment="1" applyProtection="0">
      <alignment vertical="top" wrapText="1"/>
    </xf>
    <xf numFmtId="49" fontId="2" fillId="3" borderId="3" applyNumberFormat="1" applyFont="1" applyFill="1" applyBorder="1" applyAlignment="1" applyProtection="0">
      <alignment horizontal="right" vertical="top" wrapText="1"/>
    </xf>
    <xf numFmtId="49" fontId="2" fillId="3" borderId="4" applyNumberFormat="1" applyFont="1" applyFill="1" applyBorder="1" applyAlignment="1" applyProtection="0">
      <alignment horizontal="right" vertical="top" wrapText="1"/>
    </xf>
    <xf numFmtId="49" fontId="2" fillId="3" borderId="5" applyNumberFormat="1" applyFont="1" applyFill="1" applyBorder="1" applyAlignment="1" applyProtection="0">
      <alignment horizontal="right" vertical="top" wrapText="1"/>
    </xf>
    <xf numFmtId="0" fontId="2" applyNumberFormat="1" applyFont="1" applyFill="0" applyBorder="0" applyAlignment="1" applyProtection="0">
      <alignment vertical="top" wrapText="1"/>
    </xf>
    <xf numFmtId="0" fontId="2" applyNumberFormat="1" applyFont="1" applyFill="0" applyBorder="0" applyAlignment="1" applyProtection="0">
      <alignment vertical="top" wrapText="1"/>
    </xf>
    <xf numFmtId="49" fontId="2" fillId="3" borderId="5" applyNumberFormat="1" applyFont="1" applyFill="1" applyBorder="1" applyAlignment="1" applyProtection="0">
      <alignment horizontal="center" vertical="top" wrapText="1"/>
    </xf>
    <xf numFmtId="0" fontId="2" borderId="6" applyNumberFormat="1" applyFont="1" applyFill="0" applyBorder="1" applyAlignment="1" applyProtection="0">
      <alignment vertical="top" wrapText="1"/>
    </xf>
    <xf numFmtId="0" fontId="2" applyNumberFormat="1" applyFont="1" applyFill="0" applyBorder="0" applyAlignment="1" applyProtection="0">
      <alignment vertical="top" wrapText="1"/>
    </xf>
    <xf numFmtId="0" fontId="2" applyNumberFormat="1" applyFont="1" applyFill="0" applyBorder="0" applyAlignment="1" applyProtection="0">
      <alignment vertical="top" wrapText="1"/>
    </xf>
    <xf numFmtId="49" fontId="2" fillId="3" borderId="4" applyNumberFormat="1" applyFont="1" applyFill="1" applyBorder="1" applyAlignment="1" applyProtection="0">
      <alignment vertical="top" wrapText="1"/>
    </xf>
    <xf numFmtId="49" fontId="2" fillId="3" borderId="5" applyNumberFormat="1" applyFont="1" applyFill="1" applyBorder="1" applyAlignment="1" applyProtection="0">
      <alignment vertical="top" wrapText="1"/>
    </xf>
    <xf numFmtId="0" fontId="2" applyNumberFormat="1" applyFont="1" applyFill="0" applyBorder="0" applyAlignment="1" applyProtection="0">
      <alignment vertical="top" wrapText="1"/>
    </xf>
    <xf numFmtId="0" fontId="2" applyNumberFormat="1" applyFont="1" applyFill="0" applyBorder="0" applyAlignment="1" applyProtection="0">
      <alignment vertical="top" wrapText="1"/>
    </xf>
    <xf numFmtId="59" fontId="2" fillId="3" borderId="5" applyNumberFormat="1" applyFont="1" applyFill="1" applyBorder="1" applyAlignment="1" applyProtection="0">
      <alignment horizontal="center" vertical="top" wrapText="1"/>
    </xf>
    <xf numFmtId="0" fontId="2" applyNumberFormat="1" applyFont="1" applyFill="0" applyBorder="0" applyAlignment="1" applyProtection="0">
      <alignment vertical="top" wrapText="1"/>
    </xf>
    <xf numFmtId="0" fontId="2" applyNumberFormat="1" applyFont="1" applyFill="0" applyBorder="0" applyAlignment="1" applyProtection="0">
      <alignment vertical="top" wrapText="1"/>
    </xf>
    <xf numFmtId="0" fontId="2" applyNumberFormat="1" applyFont="1" applyFill="0" applyBorder="0" applyAlignment="1" applyProtection="0">
      <alignment vertical="top" wrapText="1"/>
    </xf>
    <xf numFmtId="0" fontId="2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horizontal="center" vertical="top" wrapText="1"/>
    </xf>
    <xf numFmtId="59" fontId="2" fillId="3" borderId="4" applyNumberFormat="1" applyFont="1" applyFill="1" applyBorder="1" applyAlignment="1" applyProtection="0">
      <alignment horizontal="center" vertical="top" wrapText="1"/>
    </xf>
    <xf numFmtId="0" fontId="2" fillId="3" borderId="5" applyNumberFormat="0" applyFont="1" applyFill="1" applyBorder="1" applyAlignment="1" applyProtection="0">
      <alignment vertical="top" wrapText="1"/>
    </xf>
    <xf numFmtId="49" fontId="6" borderId="6" applyNumberFormat="1" applyFont="1" applyFill="0" applyBorder="1" applyAlignment="1" applyProtection="0">
      <alignment vertical="top" wrapText="1"/>
    </xf>
    <xf numFmtId="59" fontId="2" fillId="3" borderId="6" applyNumberFormat="1" applyFont="1" applyFill="1" applyBorder="1" applyAlignment="1" applyProtection="0">
      <alignment vertical="top" wrapText="1"/>
    </xf>
    <xf numFmtId="59" fontId="2" borderId="6" applyNumberFormat="1" applyFont="1" applyFill="0" applyBorder="1" applyAlignment="1" applyProtection="0">
      <alignment vertical="top" wrapText="1"/>
    </xf>
    <xf numFmtId="0" fontId="2" borderId="6" applyNumberFormat="0" applyFont="1" applyFill="0" applyBorder="1" applyAlignment="1" applyProtection="0">
      <alignment vertical="top" wrapText="1"/>
    </xf>
    <xf numFmtId="0" fontId="2" applyNumberFormat="1" applyFont="1" applyFill="0" applyBorder="0" applyAlignment="1" applyProtection="0">
      <alignment vertical="top" wrapText="1"/>
    </xf>
    <xf numFmtId="0" fontId="2" applyNumberFormat="1" applyFont="1" applyFill="0" applyBorder="0" applyAlignment="1" applyProtection="0">
      <alignment vertical="top" wrapText="1"/>
    </xf>
    <xf numFmtId="49" fontId="6" borderId="7" applyNumberFormat="1" applyFont="1" applyFill="0" applyBorder="1" applyAlignment="1" applyProtection="0">
      <alignment vertical="top" wrapText="1"/>
    </xf>
    <xf numFmtId="59" fontId="2" fillId="3" borderId="7" applyNumberFormat="1" applyFont="1" applyFill="1" applyBorder="1" applyAlignment="1" applyProtection="0">
      <alignment vertical="top" wrapText="1"/>
    </xf>
    <xf numFmtId="49" fontId="2" borderId="7" applyNumberFormat="1" applyFont="1" applyFill="0" applyBorder="1" applyAlignment="1" applyProtection="0">
      <alignment vertical="top" wrapText="1"/>
    </xf>
    <xf numFmtId="59" fontId="2" borderId="7" applyNumberFormat="1" applyFont="1" applyFill="0" applyBorder="1" applyAlignment="1" applyProtection="0">
      <alignment vertical="top" wrapText="1"/>
    </xf>
    <xf numFmtId="0" fontId="2" applyNumberFormat="1" applyFont="1" applyFill="0" applyBorder="0" applyAlignment="1" applyProtection="0">
      <alignment vertical="top" wrapText="1"/>
    </xf>
    <xf numFmtId="0" fontId="2" fillId="3" borderId="3" applyNumberFormat="0" applyFont="1" applyFill="1" applyBorder="1" applyAlignment="1" applyProtection="0">
      <alignment vertical="top" wrapText="1"/>
    </xf>
    <xf numFmtId="49" fontId="2" fillId="3" borderId="3" applyNumberFormat="1" applyFont="1" applyFill="1" applyBorder="1" applyAlignment="1" applyProtection="0">
      <alignment vertical="top" wrapText="1"/>
    </xf>
    <xf numFmtId="0" fontId="2" fillId="3" borderId="6" applyNumberFormat="0" applyFont="1" applyFill="1" applyBorder="1" applyAlignment="1" applyProtection="0">
      <alignment vertical="top" wrapText="1"/>
    </xf>
    <xf numFmtId="49" fontId="2" fillId="3" borderId="6" applyNumberFormat="1" applyFont="1" applyFill="1" applyBorder="1" applyAlignment="1" applyProtection="0">
      <alignment vertical="top" wrapText="1"/>
    </xf>
    <xf numFmtId="0" fontId="2" applyNumberFormat="1" applyFont="1" applyFill="0" applyBorder="0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314924"/>
      <rgbColor rgb="ff000000"/>
      <rgbColor rgb="ff444344"/>
      <rgbColor rgb="ffd6dfe7"/>
      <rgbColor rgb="ff99948e"/>
      <rgbColor rgb="ffe5e4e2"/>
      <rgbColor rgb="fffef6e8"/>
      <rgbColor rgb="ffdc5921"/>
      <rgbColor rgb="fff2f4f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0</xdr:colOff>
      <xdr:row>0</xdr:row>
      <xdr:rowOff>0</xdr:rowOff>
    </xdr:from>
    <xdr:to>
      <xdr:col>5</xdr:col>
      <xdr:colOff>254039</xdr:colOff>
      <xdr:row>3</xdr:row>
      <xdr:rowOff>252730</xdr:rowOff>
    </xdr:to>
    <xdr:sp>
      <xdr:nvSpPr>
        <xdr:cNvPr id="2" name="Shape 2"/>
        <xdr:cNvSpPr txBox="1"/>
      </xdr:nvSpPr>
      <xdr:spPr>
        <a:xfrm>
          <a:off x="-19050" y="-105728"/>
          <a:ext cx="3302040" cy="1621156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none" lIns="0" tIns="0" rIns="0" bIns="0" numCol="1" anchor="t">
          <a:spAutoFit/>
        </a:bodyPr>
        <a:lstStyle/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32" strike="noStrike" sz="3200" u="none">
              <a:ln>
                <a:noFill/>
              </a:ln>
              <a:solidFill>
                <a:schemeClr val="accent4">
                  <a:hueOff val="-56429"/>
                  <a:satOff val="-3381"/>
                  <a:lumOff val="-14918"/>
                </a:schemeClr>
              </a:solidFill>
              <a:uFillTx/>
              <a:latin typeface="+mn-lt"/>
              <a:ea typeface="+mn-ea"/>
              <a:cs typeface="+mn-cs"/>
              <a:sym typeface="Baskerville"/>
            </a:defRPr>
          </a:pPr>
          <a:r>
            <a:rPr b="0" baseline="0" cap="none" i="0" spc="32" strike="noStrike" sz="3200" u="none">
              <a:ln>
                <a:noFill/>
              </a:ln>
              <a:solidFill>
                <a:schemeClr val="accent4">
                  <a:hueOff val="-56429"/>
                  <a:satOff val="-3381"/>
                  <a:lumOff val="-14918"/>
                </a:schemeClr>
              </a:solidFill>
              <a:uFillTx/>
              <a:latin typeface="+mn-lt"/>
              <a:ea typeface="+mn-ea"/>
              <a:cs typeface="+mn-cs"/>
              <a:sym typeface="Baskerville"/>
            </a:rPr>
            <a:t>Kebbé Mamdoudé</a:t>
          </a:r>
          <a:endParaRPr b="0" baseline="0" cap="none" i="0" spc="32" strike="noStrike" sz="3200" u="none">
            <a:ln>
              <a:noFill/>
            </a:ln>
            <a:solidFill>
              <a:schemeClr val="accent4">
                <a:hueOff val="-56429"/>
                <a:satOff val="-3381"/>
                <a:lumOff val="-14918"/>
              </a:schemeClr>
            </a:solidFill>
            <a:uFillTx/>
            <a:latin typeface="+mn-lt"/>
            <a:ea typeface="+mn-ea"/>
            <a:cs typeface="+mn-cs"/>
            <a:sym typeface="Baskerville"/>
          </a:endParaRPr>
        </a:p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32" strike="noStrike" sz="3200" u="none">
              <a:ln>
                <a:noFill/>
              </a:ln>
              <a:solidFill>
                <a:schemeClr val="accent4">
                  <a:hueOff val="-56429"/>
                  <a:satOff val="-3381"/>
                  <a:lumOff val="-14918"/>
                </a:schemeClr>
              </a:solidFill>
              <a:uFillTx/>
              <a:latin typeface="+mn-lt"/>
              <a:ea typeface="+mn-ea"/>
              <a:cs typeface="+mn-cs"/>
              <a:sym typeface="Baskerville"/>
            </a:defRPr>
          </a:pPr>
          <a:endParaRPr b="0" baseline="0" cap="none" i="0" spc="32" strike="noStrike" sz="3200" u="none">
            <a:ln>
              <a:noFill/>
            </a:ln>
            <a:solidFill>
              <a:schemeClr val="accent4">
                <a:hueOff val="-56429"/>
                <a:satOff val="-3381"/>
                <a:lumOff val="-14918"/>
              </a:schemeClr>
            </a:solidFill>
            <a:uFillTx/>
            <a:latin typeface="+mn-lt"/>
            <a:ea typeface="+mn-ea"/>
            <a:cs typeface="+mn-cs"/>
            <a:sym typeface="Baskerville"/>
          </a:endParaRPr>
        </a:p>
      </xdr:txBody>
    </xdr:sp>
    <xdr:clientData/>
  </xdr:twoCellAnchor>
  <xdr:twoCellAnchor>
    <xdr:from>
      <xdr:col>0</xdr:col>
      <xdr:colOff>0</xdr:colOff>
      <xdr:row>0</xdr:row>
      <xdr:rowOff>596900</xdr:rowOff>
    </xdr:from>
    <xdr:to>
      <xdr:col>9</xdr:col>
      <xdr:colOff>762000</xdr:colOff>
      <xdr:row>0</xdr:row>
      <xdr:rowOff>596900</xdr:rowOff>
    </xdr:to>
    <xdr:sp>
      <xdr:nvSpPr>
        <xdr:cNvPr id="3" name="Shape 3"/>
        <xdr:cNvSpPr/>
      </xdr:nvSpPr>
      <xdr:spPr>
        <a:xfrm>
          <a:off x="0" y="596900"/>
          <a:ext cx="6858000" cy="1"/>
        </a:xfrm>
        <a:prstGeom prst="line">
          <a:avLst/>
        </a:prstGeom>
        <a:noFill/>
        <a:ln w="12700" cap="flat">
          <a:solidFill>
            <a:srgbClr val="AAAAAA"/>
          </a:solidFill>
          <a:custDash>
            <a:ds d="200000" sp="200000"/>
          </a:custDash>
          <a:miter lim="400000"/>
        </a:ln>
        <a:effectLst/>
      </xdr:spPr>
      <xdr:txBody>
        <a:bodyPr/>
        <a:lstStyle/>
        <a:p>
          <a:pPr/>
        </a:p>
      </xdr:txBody>
    </xdr:sp>
    <xdr:clientData/>
  </xdr:twoCellAnchor>
</xdr:wsDr>
</file>

<file path=xl/drawings/drawing2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0</xdr:colOff>
      <xdr:row>0</xdr:row>
      <xdr:rowOff>0</xdr:rowOff>
    </xdr:from>
    <xdr:to>
      <xdr:col>0</xdr:col>
      <xdr:colOff>3229697</xdr:colOff>
      <xdr:row>5</xdr:row>
      <xdr:rowOff>176530</xdr:rowOff>
    </xdr:to>
    <xdr:sp>
      <xdr:nvSpPr>
        <xdr:cNvPr id="5" name="Shape 5"/>
        <xdr:cNvSpPr txBox="1"/>
      </xdr:nvSpPr>
      <xdr:spPr>
        <a:xfrm>
          <a:off x="-19050" y="-140970"/>
          <a:ext cx="3229698" cy="2161540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none" lIns="0" tIns="0" rIns="0" bIns="0" numCol="1" anchor="t">
          <a:spAutoFit/>
        </a:bodyPr>
        <a:lstStyle/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32" strike="noStrike" sz="3200" u="none">
              <a:ln>
                <a:noFill/>
              </a:ln>
              <a:solidFill>
                <a:schemeClr val="accent4">
                  <a:hueOff val="-56429"/>
                  <a:satOff val="-3381"/>
                  <a:lumOff val="-14918"/>
                </a:schemeClr>
              </a:solidFill>
              <a:uFillTx/>
              <a:latin typeface="+mn-lt"/>
              <a:ea typeface="+mn-ea"/>
              <a:cs typeface="+mn-cs"/>
              <a:sym typeface="Baskerville"/>
            </a:defRPr>
          </a:pPr>
          <a:r>
            <a:rPr b="0" baseline="0" cap="none" i="0" spc="32" strike="noStrike" sz="3200" u="none">
              <a:ln>
                <a:noFill/>
              </a:ln>
              <a:solidFill>
                <a:schemeClr val="accent4">
                  <a:hueOff val="-56429"/>
                  <a:satOff val="-3381"/>
                  <a:lumOff val="-14918"/>
                </a:schemeClr>
              </a:solidFill>
              <a:uFillTx/>
              <a:latin typeface="+mn-lt"/>
              <a:ea typeface="+mn-ea"/>
              <a:cs typeface="+mn-cs"/>
              <a:sym typeface="Baskerville"/>
            </a:rPr>
            <a:t>Kebbé Bl Sayniyé </a:t>
          </a:r>
          <a:endParaRPr b="0" baseline="0" cap="none" i="0" spc="32" strike="noStrike" sz="3200" u="none">
            <a:ln>
              <a:noFill/>
            </a:ln>
            <a:solidFill>
              <a:schemeClr val="accent4">
                <a:hueOff val="-56429"/>
                <a:satOff val="-3381"/>
                <a:lumOff val="-14918"/>
              </a:schemeClr>
            </a:solidFill>
            <a:uFillTx/>
            <a:latin typeface="+mn-lt"/>
            <a:ea typeface="+mn-ea"/>
            <a:cs typeface="+mn-cs"/>
            <a:sym typeface="Baskerville"/>
          </a:endParaRPr>
        </a:p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32" strike="noStrike" sz="3200" u="none">
              <a:ln>
                <a:noFill/>
              </a:ln>
              <a:solidFill>
                <a:schemeClr val="accent4">
                  <a:hueOff val="-56429"/>
                  <a:satOff val="-3381"/>
                  <a:lumOff val="-14918"/>
                </a:schemeClr>
              </a:solidFill>
              <a:uFillTx/>
              <a:latin typeface="+mn-lt"/>
              <a:ea typeface="+mn-ea"/>
              <a:cs typeface="+mn-cs"/>
              <a:sym typeface="Baskerville"/>
            </a:defRPr>
          </a:pPr>
          <a:endParaRPr b="0" baseline="0" cap="none" i="0" spc="32" strike="noStrike" sz="3200" u="none">
            <a:ln>
              <a:noFill/>
            </a:ln>
            <a:solidFill>
              <a:schemeClr val="accent4">
                <a:hueOff val="-56429"/>
                <a:satOff val="-3381"/>
                <a:lumOff val="-14918"/>
              </a:schemeClr>
            </a:solidFill>
            <a:uFillTx/>
            <a:latin typeface="+mn-lt"/>
            <a:ea typeface="+mn-ea"/>
            <a:cs typeface="+mn-cs"/>
            <a:sym typeface="Baskerville"/>
          </a:endParaRPr>
        </a:p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32" strike="noStrike" sz="3200" u="none">
              <a:ln>
                <a:noFill/>
              </a:ln>
              <a:solidFill>
                <a:schemeClr val="accent4">
                  <a:hueOff val="-56429"/>
                  <a:satOff val="-3381"/>
                  <a:lumOff val="-14918"/>
                </a:schemeClr>
              </a:solidFill>
              <a:uFillTx/>
              <a:latin typeface="+mn-lt"/>
              <a:ea typeface="+mn-ea"/>
              <a:cs typeface="+mn-cs"/>
              <a:sym typeface="Baskerville"/>
            </a:defRPr>
          </a:pPr>
          <a:endParaRPr b="0" baseline="0" cap="none" i="0" spc="32" strike="noStrike" sz="3200" u="none">
            <a:ln>
              <a:noFill/>
            </a:ln>
            <a:solidFill>
              <a:schemeClr val="accent4">
                <a:hueOff val="-56429"/>
                <a:satOff val="-3381"/>
                <a:lumOff val="-14918"/>
              </a:schemeClr>
            </a:solidFill>
            <a:uFillTx/>
            <a:latin typeface="+mn-lt"/>
            <a:ea typeface="+mn-ea"/>
            <a:cs typeface="+mn-cs"/>
            <a:sym typeface="Baskerville"/>
          </a:endParaRPr>
        </a:p>
      </xdr:txBody>
    </xdr:sp>
    <xdr:clientData/>
  </xdr:twoCellAnchor>
  <xdr:twoCellAnchor>
    <xdr:from>
      <xdr:col>0</xdr:col>
      <xdr:colOff>0</xdr:colOff>
      <xdr:row>0</xdr:row>
      <xdr:rowOff>596900</xdr:rowOff>
    </xdr:from>
    <xdr:to>
      <xdr:col>3</xdr:col>
      <xdr:colOff>50800</xdr:colOff>
      <xdr:row>0</xdr:row>
      <xdr:rowOff>596900</xdr:rowOff>
    </xdr:to>
    <xdr:sp>
      <xdr:nvSpPr>
        <xdr:cNvPr id="6" name="Shape 6"/>
        <xdr:cNvSpPr/>
      </xdr:nvSpPr>
      <xdr:spPr>
        <a:xfrm>
          <a:off x="0" y="596900"/>
          <a:ext cx="6858000" cy="1"/>
        </a:xfrm>
        <a:prstGeom prst="line">
          <a:avLst/>
        </a:prstGeom>
        <a:noFill/>
        <a:ln w="12700" cap="flat">
          <a:solidFill>
            <a:srgbClr val="AAAAAA"/>
          </a:solidFill>
          <a:custDash>
            <a:ds d="200000" sp="200000"/>
          </a:custDash>
          <a:miter lim="400000"/>
        </a:ln>
        <a:effectLst/>
      </xdr:spPr>
      <xdr:txBody>
        <a:bodyPr/>
        <a:lstStyle/>
        <a:p>
          <a:pPr/>
        </a:p>
      </xdr:txBody>
    </xdr:sp>
    <xdr:clientData/>
  </xdr:twoCellAnchor>
</xdr:wsDr>
</file>

<file path=xl/drawings/drawing3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0</xdr:colOff>
      <xdr:row>0</xdr:row>
      <xdr:rowOff>0</xdr:rowOff>
    </xdr:from>
    <xdr:to>
      <xdr:col>0</xdr:col>
      <xdr:colOff>2057257</xdr:colOff>
      <xdr:row>8</xdr:row>
      <xdr:rowOff>96520</xdr:rowOff>
    </xdr:to>
    <xdr:sp>
      <xdr:nvSpPr>
        <xdr:cNvPr id="8" name="Shape 8"/>
        <xdr:cNvSpPr txBox="1"/>
      </xdr:nvSpPr>
      <xdr:spPr>
        <a:xfrm>
          <a:off x="-19050" y="-176213"/>
          <a:ext cx="2057258" cy="2701926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none" lIns="0" tIns="0" rIns="0" bIns="0" numCol="1" anchor="t">
          <a:spAutoFit/>
        </a:bodyPr>
        <a:lstStyle/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32" strike="noStrike" sz="3200" u="none">
              <a:ln>
                <a:noFill/>
              </a:ln>
              <a:solidFill>
                <a:schemeClr val="accent4">
                  <a:hueOff val="-56429"/>
                  <a:satOff val="-3381"/>
                  <a:lumOff val="-14918"/>
                </a:schemeClr>
              </a:solidFill>
              <a:uFillTx/>
              <a:latin typeface="+mn-lt"/>
              <a:ea typeface="+mn-ea"/>
              <a:cs typeface="+mn-cs"/>
              <a:sym typeface="Baskerville"/>
            </a:defRPr>
          </a:pPr>
          <a:r>
            <a:rPr b="0" baseline="0" cap="none" i="0" spc="32" strike="noStrike" sz="3200" u="none">
              <a:ln>
                <a:noFill/>
              </a:ln>
              <a:solidFill>
                <a:schemeClr val="accent4">
                  <a:hueOff val="-56429"/>
                  <a:satOff val="-3381"/>
                  <a:lumOff val="-14918"/>
                </a:schemeClr>
              </a:solidFill>
              <a:uFillTx/>
              <a:latin typeface="+mn-lt"/>
              <a:ea typeface="+mn-ea"/>
              <a:cs typeface="+mn-cs"/>
              <a:sym typeface="Baskerville"/>
            </a:rPr>
            <a:t>Feta Kebbé</a:t>
          </a:r>
          <a:endParaRPr b="0" baseline="0" cap="none" i="0" spc="32" strike="noStrike" sz="3200" u="none">
            <a:ln>
              <a:noFill/>
            </a:ln>
            <a:solidFill>
              <a:schemeClr val="accent4">
                <a:hueOff val="-56429"/>
                <a:satOff val="-3381"/>
                <a:lumOff val="-14918"/>
              </a:schemeClr>
            </a:solidFill>
            <a:uFillTx/>
            <a:latin typeface="+mn-lt"/>
            <a:ea typeface="+mn-ea"/>
            <a:cs typeface="+mn-cs"/>
            <a:sym typeface="Baskerville"/>
          </a:endParaRPr>
        </a:p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32" strike="noStrike" sz="3200" u="none">
              <a:ln>
                <a:noFill/>
              </a:ln>
              <a:solidFill>
                <a:schemeClr val="accent4">
                  <a:hueOff val="-56429"/>
                  <a:satOff val="-3381"/>
                  <a:lumOff val="-14918"/>
                </a:schemeClr>
              </a:solidFill>
              <a:uFillTx/>
              <a:latin typeface="+mn-lt"/>
              <a:ea typeface="+mn-ea"/>
              <a:cs typeface="+mn-cs"/>
              <a:sym typeface="Baskerville"/>
            </a:defRPr>
          </a:pPr>
          <a:endParaRPr b="0" baseline="0" cap="none" i="0" spc="32" strike="noStrike" sz="3200" u="none">
            <a:ln>
              <a:noFill/>
            </a:ln>
            <a:solidFill>
              <a:schemeClr val="accent4">
                <a:hueOff val="-56429"/>
                <a:satOff val="-3381"/>
                <a:lumOff val="-14918"/>
              </a:schemeClr>
            </a:solidFill>
            <a:uFillTx/>
            <a:latin typeface="+mn-lt"/>
            <a:ea typeface="+mn-ea"/>
            <a:cs typeface="+mn-cs"/>
            <a:sym typeface="Baskerville"/>
          </a:endParaRPr>
        </a:p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32" strike="noStrike" sz="3200" u="none">
              <a:ln>
                <a:noFill/>
              </a:ln>
              <a:solidFill>
                <a:schemeClr val="accent4">
                  <a:hueOff val="-56429"/>
                  <a:satOff val="-3381"/>
                  <a:lumOff val="-14918"/>
                </a:schemeClr>
              </a:solidFill>
              <a:uFillTx/>
              <a:latin typeface="+mn-lt"/>
              <a:ea typeface="+mn-ea"/>
              <a:cs typeface="+mn-cs"/>
              <a:sym typeface="Baskerville"/>
            </a:defRPr>
          </a:pPr>
          <a:endParaRPr b="0" baseline="0" cap="none" i="0" spc="32" strike="noStrike" sz="3200" u="none">
            <a:ln>
              <a:noFill/>
            </a:ln>
            <a:solidFill>
              <a:schemeClr val="accent4">
                <a:hueOff val="-56429"/>
                <a:satOff val="-3381"/>
                <a:lumOff val="-14918"/>
              </a:schemeClr>
            </a:solidFill>
            <a:uFillTx/>
            <a:latin typeface="+mn-lt"/>
            <a:ea typeface="+mn-ea"/>
            <a:cs typeface="+mn-cs"/>
            <a:sym typeface="Baskerville"/>
          </a:endParaRPr>
        </a:p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32" strike="noStrike" sz="3200" u="none">
              <a:ln>
                <a:noFill/>
              </a:ln>
              <a:solidFill>
                <a:schemeClr val="accent4">
                  <a:hueOff val="-56429"/>
                  <a:satOff val="-3381"/>
                  <a:lumOff val="-14918"/>
                </a:schemeClr>
              </a:solidFill>
              <a:uFillTx/>
              <a:latin typeface="+mn-lt"/>
              <a:ea typeface="+mn-ea"/>
              <a:cs typeface="+mn-cs"/>
              <a:sym typeface="Baskerville"/>
            </a:defRPr>
          </a:pPr>
          <a:endParaRPr b="0" baseline="0" cap="none" i="0" spc="32" strike="noStrike" sz="3200" u="none">
            <a:ln>
              <a:noFill/>
            </a:ln>
            <a:solidFill>
              <a:schemeClr val="accent4">
                <a:hueOff val="-56429"/>
                <a:satOff val="-3381"/>
                <a:lumOff val="-14918"/>
              </a:schemeClr>
            </a:solidFill>
            <a:uFillTx/>
            <a:latin typeface="+mn-lt"/>
            <a:ea typeface="+mn-ea"/>
            <a:cs typeface="+mn-cs"/>
            <a:sym typeface="Baskerville"/>
          </a:endParaRPr>
        </a:p>
      </xdr:txBody>
    </xdr:sp>
    <xdr:clientData/>
  </xdr:twoCellAnchor>
  <xdr:twoCellAnchor>
    <xdr:from>
      <xdr:col>0</xdr:col>
      <xdr:colOff>0</xdr:colOff>
      <xdr:row>1</xdr:row>
      <xdr:rowOff>0</xdr:rowOff>
    </xdr:from>
    <xdr:to>
      <xdr:col>3</xdr:col>
      <xdr:colOff>228600</xdr:colOff>
      <xdr:row>1</xdr:row>
      <xdr:rowOff>0</xdr:rowOff>
    </xdr:to>
    <xdr:sp>
      <xdr:nvSpPr>
        <xdr:cNvPr id="9" name="Shape 9"/>
        <xdr:cNvSpPr/>
      </xdr:nvSpPr>
      <xdr:spPr>
        <a:xfrm>
          <a:off x="0" y="596900"/>
          <a:ext cx="6858000" cy="1"/>
        </a:xfrm>
        <a:prstGeom prst="line">
          <a:avLst/>
        </a:prstGeom>
        <a:noFill/>
        <a:ln w="12700" cap="flat">
          <a:solidFill>
            <a:srgbClr val="AAAAAA"/>
          </a:solidFill>
          <a:custDash>
            <a:ds d="200000" sp="200000"/>
          </a:custDash>
          <a:miter lim="400000"/>
        </a:ln>
        <a:effectLst/>
      </xdr:spPr>
      <xdr:txBody>
        <a:bodyPr/>
        <a:lstStyle/>
        <a:p>
          <a:pPr/>
        </a:p>
      </xdr:txBody>
    </xdr:sp>
    <xdr:clientData/>
  </xdr:twoCellAnchor>
</xdr:wsDr>
</file>

<file path=xl/drawings/drawing4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0</xdr:colOff>
      <xdr:row>0</xdr:row>
      <xdr:rowOff>0</xdr:rowOff>
    </xdr:from>
    <xdr:to>
      <xdr:col>0</xdr:col>
      <xdr:colOff>3379319</xdr:colOff>
      <xdr:row>6</xdr:row>
      <xdr:rowOff>89535</xdr:rowOff>
    </xdr:to>
    <xdr:sp>
      <xdr:nvSpPr>
        <xdr:cNvPr id="11" name="Shape 11"/>
        <xdr:cNvSpPr txBox="1"/>
      </xdr:nvSpPr>
      <xdr:spPr>
        <a:xfrm>
          <a:off x="-19050" y="-140970"/>
          <a:ext cx="3379320" cy="2161540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none" lIns="0" tIns="0" rIns="0" bIns="0" numCol="1" anchor="t">
          <a:spAutoFit/>
        </a:bodyPr>
        <a:lstStyle/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32" strike="noStrike" sz="3200" u="none">
              <a:ln>
                <a:noFill/>
              </a:ln>
              <a:solidFill>
                <a:schemeClr val="accent4">
                  <a:hueOff val="-56429"/>
                  <a:satOff val="-3381"/>
                  <a:lumOff val="-14918"/>
                </a:schemeClr>
              </a:solidFill>
              <a:uFillTx/>
              <a:latin typeface="+mn-lt"/>
              <a:ea typeface="+mn-ea"/>
              <a:cs typeface="+mn-cs"/>
              <a:sym typeface="Baskerville"/>
            </a:defRPr>
          </a:pPr>
          <a:r>
            <a:rPr b="0" baseline="0" cap="none" i="0" spc="32" strike="noStrike" sz="3200" u="none">
              <a:ln>
                <a:noFill/>
              </a:ln>
              <a:solidFill>
                <a:schemeClr val="accent4">
                  <a:hueOff val="-56429"/>
                  <a:satOff val="-3381"/>
                  <a:lumOff val="-14918"/>
                </a:schemeClr>
              </a:solidFill>
              <a:uFillTx/>
              <a:latin typeface="+mn-lt"/>
              <a:ea typeface="+mn-ea"/>
              <a:cs typeface="+mn-cs"/>
              <a:sym typeface="Baskerville"/>
            </a:rPr>
            <a:t>Onion &amp; Pine Nuts</a:t>
          </a:r>
          <a:endParaRPr b="0" baseline="0" cap="none" i="0" spc="32" strike="noStrike" sz="3200" u="none">
            <a:ln>
              <a:noFill/>
            </a:ln>
            <a:solidFill>
              <a:schemeClr val="accent4">
                <a:hueOff val="-56429"/>
                <a:satOff val="-3381"/>
                <a:lumOff val="-14918"/>
              </a:schemeClr>
            </a:solidFill>
            <a:uFillTx/>
            <a:latin typeface="+mn-lt"/>
            <a:ea typeface="+mn-ea"/>
            <a:cs typeface="+mn-cs"/>
            <a:sym typeface="Baskerville"/>
          </a:endParaRPr>
        </a:p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32" strike="noStrike" sz="3200" u="none">
              <a:ln>
                <a:noFill/>
              </a:ln>
              <a:solidFill>
                <a:schemeClr val="accent4">
                  <a:hueOff val="-56429"/>
                  <a:satOff val="-3381"/>
                  <a:lumOff val="-14918"/>
                </a:schemeClr>
              </a:solidFill>
              <a:uFillTx/>
              <a:latin typeface="+mn-lt"/>
              <a:ea typeface="+mn-ea"/>
              <a:cs typeface="+mn-cs"/>
              <a:sym typeface="Baskerville"/>
            </a:defRPr>
          </a:pPr>
          <a:endParaRPr b="0" baseline="0" cap="none" i="0" spc="32" strike="noStrike" sz="3200" u="none">
            <a:ln>
              <a:noFill/>
            </a:ln>
            <a:solidFill>
              <a:schemeClr val="accent4">
                <a:hueOff val="-56429"/>
                <a:satOff val="-3381"/>
                <a:lumOff val="-14918"/>
              </a:schemeClr>
            </a:solidFill>
            <a:uFillTx/>
            <a:latin typeface="+mn-lt"/>
            <a:ea typeface="+mn-ea"/>
            <a:cs typeface="+mn-cs"/>
            <a:sym typeface="Baskerville"/>
          </a:endParaRPr>
        </a:p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32" strike="noStrike" sz="3200" u="none">
              <a:ln>
                <a:noFill/>
              </a:ln>
              <a:solidFill>
                <a:schemeClr val="accent4">
                  <a:hueOff val="-56429"/>
                  <a:satOff val="-3381"/>
                  <a:lumOff val="-14918"/>
                </a:schemeClr>
              </a:solidFill>
              <a:uFillTx/>
              <a:latin typeface="+mn-lt"/>
              <a:ea typeface="+mn-ea"/>
              <a:cs typeface="+mn-cs"/>
              <a:sym typeface="Baskerville"/>
            </a:defRPr>
          </a:pPr>
          <a:endParaRPr b="0" baseline="0" cap="none" i="0" spc="32" strike="noStrike" sz="3200" u="none">
            <a:ln>
              <a:noFill/>
            </a:ln>
            <a:solidFill>
              <a:schemeClr val="accent4">
                <a:hueOff val="-56429"/>
                <a:satOff val="-3381"/>
                <a:lumOff val="-14918"/>
              </a:schemeClr>
            </a:solidFill>
            <a:uFillTx/>
            <a:latin typeface="+mn-lt"/>
            <a:ea typeface="+mn-ea"/>
            <a:cs typeface="+mn-cs"/>
            <a:sym typeface="Baskerville"/>
          </a:endParaRPr>
        </a:p>
      </xdr:txBody>
    </xdr:sp>
    <xdr:clientData/>
  </xdr:twoCellAnchor>
  <xdr:twoCellAnchor>
    <xdr:from>
      <xdr:col>0</xdr:col>
      <xdr:colOff>0</xdr:colOff>
      <xdr:row>0</xdr:row>
      <xdr:rowOff>596900</xdr:rowOff>
    </xdr:from>
    <xdr:to>
      <xdr:col>3</xdr:col>
      <xdr:colOff>254000</xdr:colOff>
      <xdr:row>0</xdr:row>
      <xdr:rowOff>596900</xdr:rowOff>
    </xdr:to>
    <xdr:sp>
      <xdr:nvSpPr>
        <xdr:cNvPr id="12" name="Shape 12"/>
        <xdr:cNvSpPr/>
      </xdr:nvSpPr>
      <xdr:spPr>
        <a:xfrm>
          <a:off x="0" y="596900"/>
          <a:ext cx="6858000" cy="1"/>
        </a:xfrm>
        <a:prstGeom prst="line">
          <a:avLst/>
        </a:prstGeom>
        <a:noFill/>
        <a:ln w="12700" cap="flat">
          <a:solidFill>
            <a:srgbClr val="AAAAAA"/>
          </a:solidFill>
          <a:custDash>
            <a:ds d="200000" sp="200000"/>
          </a:custDash>
          <a:miter lim="400000"/>
        </a:ln>
        <a:effectLst/>
      </xdr:spPr>
      <xdr:txBody>
        <a:bodyPr/>
        <a:lstStyle/>
        <a:p>
          <a:pPr/>
        </a:p>
      </xdr:txBody>
    </xdr:sp>
    <xdr:clientData/>
  </xdr:twoCellAnchor>
</xdr:wsDr>
</file>

<file path=xl/drawings/drawing5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0</xdr:colOff>
      <xdr:row>0</xdr:row>
      <xdr:rowOff>0</xdr:rowOff>
    </xdr:from>
    <xdr:to>
      <xdr:col>0</xdr:col>
      <xdr:colOff>2422080</xdr:colOff>
      <xdr:row>6</xdr:row>
      <xdr:rowOff>233680</xdr:rowOff>
    </xdr:to>
    <xdr:sp>
      <xdr:nvSpPr>
        <xdr:cNvPr id="14" name="Shape 14"/>
        <xdr:cNvSpPr txBox="1"/>
      </xdr:nvSpPr>
      <xdr:spPr>
        <a:xfrm>
          <a:off x="-19050" y="-140970"/>
          <a:ext cx="2422081" cy="2161540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none" lIns="0" tIns="0" rIns="0" bIns="0" numCol="1" anchor="t">
          <a:spAutoFit/>
        </a:bodyPr>
        <a:lstStyle/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32" strike="noStrike" sz="3200" u="none">
              <a:ln>
                <a:noFill/>
              </a:ln>
              <a:solidFill>
                <a:schemeClr val="accent4">
                  <a:hueOff val="-56429"/>
                  <a:satOff val="-3381"/>
                  <a:lumOff val="-14918"/>
                </a:schemeClr>
              </a:solidFill>
              <a:uFillTx/>
              <a:latin typeface="+mn-lt"/>
              <a:ea typeface="+mn-ea"/>
              <a:cs typeface="+mn-cs"/>
              <a:sym typeface="Baskerville"/>
            </a:defRPr>
          </a:pPr>
          <a:r>
            <a:rPr b="0" baseline="0" cap="none" i="0" spc="32" strike="noStrike" sz="3200" u="none">
              <a:ln>
                <a:noFill/>
              </a:ln>
              <a:solidFill>
                <a:schemeClr val="accent4">
                  <a:hueOff val="-56429"/>
                  <a:satOff val="-3381"/>
                  <a:lumOff val="-14918"/>
                </a:schemeClr>
              </a:solidFill>
              <a:uFillTx/>
              <a:latin typeface="+mn-lt"/>
              <a:ea typeface="+mn-ea"/>
              <a:cs typeface="+mn-cs"/>
              <a:sym typeface="Baskerville"/>
            </a:rPr>
            <a:t>Kebbé Nayyé</a:t>
          </a:r>
          <a:endParaRPr b="0" baseline="0" cap="none" i="0" spc="32" strike="noStrike" sz="3200" u="none">
            <a:ln>
              <a:noFill/>
            </a:ln>
            <a:solidFill>
              <a:schemeClr val="accent4">
                <a:hueOff val="-56429"/>
                <a:satOff val="-3381"/>
                <a:lumOff val="-14918"/>
              </a:schemeClr>
            </a:solidFill>
            <a:uFillTx/>
            <a:latin typeface="+mn-lt"/>
            <a:ea typeface="+mn-ea"/>
            <a:cs typeface="+mn-cs"/>
            <a:sym typeface="Baskerville"/>
          </a:endParaRPr>
        </a:p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32" strike="noStrike" sz="3200" u="none">
              <a:ln>
                <a:noFill/>
              </a:ln>
              <a:solidFill>
                <a:schemeClr val="accent4">
                  <a:hueOff val="-56429"/>
                  <a:satOff val="-3381"/>
                  <a:lumOff val="-14918"/>
                </a:schemeClr>
              </a:solidFill>
              <a:uFillTx/>
              <a:latin typeface="+mn-lt"/>
              <a:ea typeface="+mn-ea"/>
              <a:cs typeface="+mn-cs"/>
              <a:sym typeface="Baskerville"/>
            </a:defRPr>
          </a:pPr>
          <a:endParaRPr b="0" baseline="0" cap="none" i="0" spc="32" strike="noStrike" sz="3200" u="none">
            <a:ln>
              <a:noFill/>
            </a:ln>
            <a:solidFill>
              <a:schemeClr val="accent4">
                <a:hueOff val="-56429"/>
                <a:satOff val="-3381"/>
                <a:lumOff val="-14918"/>
              </a:schemeClr>
            </a:solidFill>
            <a:uFillTx/>
            <a:latin typeface="+mn-lt"/>
            <a:ea typeface="+mn-ea"/>
            <a:cs typeface="+mn-cs"/>
            <a:sym typeface="Baskerville"/>
          </a:endParaRPr>
        </a:p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32" strike="noStrike" sz="3200" u="none">
              <a:ln>
                <a:noFill/>
              </a:ln>
              <a:solidFill>
                <a:schemeClr val="accent4">
                  <a:hueOff val="-56429"/>
                  <a:satOff val="-3381"/>
                  <a:lumOff val="-14918"/>
                </a:schemeClr>
              </a:solidFill>
              <a:uFillTx/>
              <a:latin typeface="+mn-lt"/>
              <a:ea typeface="+mn-ea"/>
              <a:cs typeface="+mn-cs"/>
              <a:sym typeface="Baskerville"/>
            </a:defRPr>
          </a:pPr>
          <a:endParaRPr b="0" baseline="0" cap="none" i="0" spc="32" strike="noStrike" sz="3200" u="none">
            <a:ln>
              <a:noFill/>
            </a:ln>
            <a:solidFill>
              <a:schemeClr val="accent4">
                <a:hueOff val="-56429"/>
                <a:satOff val="-3381"/>
                <a:lumOff val="-14918"/>
              </a:schemeClr>
            </a:solidFill>
            <a:uFillTx/>
            <a:latin typeface="+mn-lt"/>
            <a:ea typeface="+mn-ea"/>
            <a:cs typeface="+mn-cs"/>
            <a:sym typeface="Baskerville"/>
          </a:endParaRPr>
        </a:p>
      </xdr:txBody>
    </xdr:sp>
    <xdr:clientData/>
  </xdr:twoCellAnchor>
  <xdr:twoCellAnchor>
    <xdr:from>
      <xdr:col>0</xdr:col>
      <xdr:colOff>0</xdr:colOff>
      <xdr:row>1</xdr:row>
      <xdr:rowOff>98425</xdr:rowOff>
    </xdr:from>
    <xdr:to>
      <xdr:col>3</xdr:col>
      <xdr:colOff>381000</xdr:colOff>
      <xdr:row>1</xdr:row>
      <xdr:rowOff>98425</xdr:rowOff>
    </xdr:to>
    <xdr:sp>
      <xdr:nvSpPr>
        <xdr:cNvPr id="15" name="Shape 15"/>
        <xdr:cNvSpPr/>
      </xdr:nvSpPr>
      <xdr:spPr>
        <a:xfrm>
          <a:off x="0" y="596900"/>
          <a:ext cx="6858000" cy="1"/>
        </a:xfrm>
        <a:prstGeom prst="line">
          <a:avLst/>
        </a:prstGeom>
        <a:noFill/>
        <a:ln w="12700" cap="flat">
          <a:solidFill>
            <a:srgbClr val="AAAAAA"/>
          </a:solidFill>
          <a:custDash>
            <a:ds d="200000" sp="200000"/>
          </a:custDash>
          <a:miter lim="400000"/>
        </a:ln>
        <a:effectLst/>
      </xdr:spPr>
      <xdr:txBody>
        <a:bodyPr/>
        <a:lstStyle/>
        <a:p>
          <a:pPr/>
        </a:p>
      </xdr:txBody>
    </xdr:sp>
    <xdr:clientData/>
  </xdr:twoCellAnchor>
</xdr:wsDr>
</file>

<file path=xl/drawings/drawing6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0</xdr:colOff>
      <xdr:row>0</xdr:row>
      <xdr:rowOff>0</xdr:rowOff>
    </xdr:from>
    <xdr:to>
      <xdr:col>0</xdr:col>
      <xdr:colOff>2904379</xdr:colOff>
      <xdr:row>8</xdr:row>
      <xdr:rowOff>137795</xdr:rowOff>
    </xdr:to>
    <xdr:sp>
      <xdr:nvSpPr>
        <xdr:cNvPr id="17" name="Shape 17"/>
        <xdr:cNvSpPr txBox="1"/>
      </xdr:nvSpPr>
      <xdr:spPr>
        <a:xfrm>
          <a:off x="-19050" y="-176213"/>
          <a:ext cx="2904379" cy="2701926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none" lIns="0" tIns="0" rIns="0" bIns="0" numCol="1" anchor="t">
          <a:spAutoFit/>
        </a:bodyPr>
        <a:lstStyle/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32" strike="noStrike" sz="3200" u="none">
              <a:ln>
                <a:noFill/>
              </a:ln>
              <a:solidFill>
                <a:schemeClr val="accent4">
                  <a:hueOff val="-56429"/>
                  <a:satOff val="-3381"/>
                  <a:lumOff val="-14918"/>
                </a:schemeClr>
              </a:solidFill>
              <a:uFillTx/>
              <a:latin typeface="+mn-lt"/>
              <a:ea typeface="+mn-ea"/>
              <a:cs typeface="+mn-cs"/>
              <a:sym typeface="Baskerville"/>
            </a:defRPr>
          </a:pPr>
          <a:r>
            <a:rPr b="0" baseline="0" cap="none" i="0" spc="32" strike="noStrike" sz="3200" u="none">
              <a:ln>
                <a:noFill/>
              </a:ln>
              <a:solidFill>
                <a:schemeClr val="accent4">
                  <a:hueOff val="-56429"/>
                  <a:satOff val="-3381"/>
                  <a:lumOff val="-14918"/>
                </a:schemeClr>
              </a:solidFill>
              <a:uFillTx/>
              <a:latin typeface="+mn-lt"/>
              <a:ea typeface="+mn-ea"/>
              <a:cs typeface="+mn-cs"/>
              <a:sym typeface="Baskerville"/>
            </a:rPr>
            <a:t>Hommos Kebbé</a:t>
          </a:r>
          <a:endParaRPr b="0" baseline="0" cap="none" i="0" spc="32" strike="noStrike" sz="3200" u="none">
            <a:ln>
              <a:noFill/>
            </a:ln>
            <a:solidFill>
              <a:schemeClr val="accent4">
                <a:hueOff val="-56429"/>
                <a:satOff val="-3381"/>
                <a:lumOff val="-14918"/>
              </a:schemeClr>
            </a:solidFill>
            <a:uFillTx/>
            <a:latin typeface="+mn-lt"/>
            <a:ea typeface="+mn-ea"/>
            <a:cs typeface="+mn-cs"/>
            <a:sym typeface="Baskerville"/>
          </a:endParaRPr>
        </a:p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32" strike="noStrike" sz="3200" u="none">
              <a:ln>
                <a:noFill/>
              </a:ln>
              <a:solidFill>
                <a:schemeClr val="accent4">
                  <a:hueOff val="-56429"/>
                  <a:satOff val="-3381"/>
                  <a:lumOff val="-14918"/>
                </a:schemeClr>
              </a:solidFill>
              <a:uFillTx/>
              <a:latin typeface="+mn-lt"/>
              <a:ea typeface="+mn-ea"/>
              <a:cs typeface="+mn-cs"/>
              <a:sym typeface="Baskerville"/>
            </a:defRPr>
          </a:pPr>
          <a:r>
            <a:rPr b="0" baseline="0" cap="none" i="0" spc="32" strike="noStrike" sz="3200" u="none">
              <a:ln>
                <a:noFill/>
              </a:ln>
              <a:solidFill>
                <a:schemeClr val="accent4">
                  <a:hueOff val="-56429"/>
                  <a:satOff val="-3381"/>
                  <a:lumOff val="-14918"/>
                </a:schemeClr>
              </a:solidFill>
              <a:uFillTx/>
              <a:latin typeface="+mn-lt"/>
              <a:ea typeface="+mn-ea"/>
              <a:cs typeface="+mn-cs"/>
              <a:sym typeface="Baskerville"/>
            </a:rPr>
            <a:t> </a:t>
          </a:r>
          <a:endParaRPr b="0" baseline="0" cap="none" i="0" spc="32" strike="noStrike" sz="3200" u="none">
            <a:ln>
              <a:noFill/>
            </a:ln>
            <a:solidFill>
              <a:schemeClr val="accent4">
                <a:hueOff val="-56429"/>
                <a:satOff val="-3381"/>
                <a:lumOff val="-14918"/>
              </a:schemeClr>
            </a:solidFill>
            <a:uFillTx/>
            <a:latin typeface="+mn-lt"/>
            <a:ea typeface="+mn-ea"/>
            <a:cs typeface="+mn-cs"/>
            <a:sym typeface="Baskerville"/>
          </a:endParaRPr>
        </a:p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32" strike="noStrike" sz="3200" u="none">
              <a:ln>
                <a:noFill/>
              </a:ln>
              <a:solidFill>
                <a:schemeClr val="accent4">
                  <a:hueOff val="-56429"/>
                  <a:satOff val="-3381"/>
                  <a:lumOff val="-14918"/>
                </a:schemeClr>
              </a:solidFill>
              <a:uFillTx/>
              <a:latin typeface="+mn-lt"/>
              <a:ea typeface="+mn-ea"/>
              <a:cs typeface="+mn-cs"/>
              <a:sym typeface="Baskerville"/>
            </a:defRPr>
          </a:pPr>
          <a:endParaRPr b="0" baseline="0" cap="none" i="0" spc="32" strike="noStrike" sz="3200" u="none">
            <a:ln>
              <a:noFill/>
            </a:ln>
            <a:solidFill>
              <a:schemeClr val="accent4">
                <a:hueOff val="-56429"/>
                <a:satOff val="-3381"/>
                <a:lumOff val="-14918"/>
              </a:schemeClr>
            </a:solidFill>
            <a:uFillTx/>
            <a:latin typeface="+mn-lt"/>
            <a:ea typeface="+mn-ea"/>
            <a:cs typeface="+mn-cs"/>
            <a:sym typeface="Baskerville"/>
          </a:endParaRPr>
        </a:p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32" strike="noStrike" sz="3200" u="none">
              <a:ln>
                <a:noFill/>
              </a:ln>
              <a:solidFill>
                <a:schemeClr val="accent4">
                  <a:hueOff val="-56429"/>
                  <a:satOff val="-3381"/>
                  <a:lumOff val="-14918"/>
                </a:schemeClr>
              </a:solidFill>
              <a:uFillTx/>
              <a:latin typeface="+mn-lt"/>
              <a:ea typeface="+mn-ea"/>
              <a:cs typeface="+mn-cs"/>
              <a:sym typeface="Baskerville"/>
            </a:defRPr>
          </a:pPr>
          <a:endParaRPr b="0" baseline="0" cap="none" i="0" spc="32" strike="noStrike" sz="3200" u="none">
            <a:ln>
              <a:noFill/>
            </a:ln>
            <a:solidFill>
              <a:schemeClr val="accent4">
                <a:hueOff val="-56429"/>
                <a:satOff val="-3381"/>
                <a:lumOff val="-14918"/>
              </a:schemeClr>
            </a:solidFill>
            <a:uFillTx/>
            <a:latin typeface="+mn-lt"/>
            <a:ea typeface="+mn-ea"/>
            <a:cs typeface="+mn-cs"/>
            <a:sym typeface="Baskerville"/>
          </a:endParaRPr>
        </a:p>
      </xdr:txBody>
    </xdr:sp>
    <xdr:clientData/>
  </xdr:twoCellAnchor>
  <xdr:twoCellAnchor>
    <xdr:from>
      <xdr:col>0</xdr:col>
      <xdr:colOff>0</xdr:colOff>
      <xdr:row>1</xdr:row>
      <xdr:rowOff>6350</xdr:rowOff>
    </xdr:from>
    <xdr:to>
      <xdr:col>2</xdr:col>
      <xdr:colOff>1028700</xdr:colOff>
      <xdr:row>1</xdr:row>
      <xdr:rowOff>6350</xdr:rowOff>
    </xdr:to>
    <xdr:sp>
      <xdr:nvSpPr>
        <xdr:cNvPr id="18" name="Shape 18"/>
        <xdr:cNvSpPr/>
      </xdr:nvSpPr>
      <xdr:spPr>
        <a:xfrm>
          <a:off x="0" y="596900"/>
          <a:ext cx="6858000" cy="1"/>
        </a:xfrm>
        <a:prstGeom prst="line">
          <a:avLst/>
        </a:prstGeom>
        <a:noFill/>
        <a:ln w="12700" cap="flat">
          <a:solidFill>
            <a:srgbClr val="AAAAAA"/>
          </a:solidFill>
          <a:custDash>
            <a:ds d="200000" sp="200000"/>
          </a:custDash>
          <a:miter lim="400000"/>
        </a:ln>
        <a:effectLst/>
      </xdr:spPr>
      <xdr:txBody>
        <a:bodyPr/>
        <a:lstStyle/>
        <a:p>
          <a:pPr/>
        </a:p>
      </xdr:txBody>
    </xdr:sp>
    <xdr:clientData/>
  </xdr:twoCellAnchor>
</xdr:wsDr>
</file>

<file path=xl/drawings/drawing7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0</xdr:colOff>
      <xdr:row>0</xdr:row>
      <xdr:rowOff>0</xdr:rowOff>
    </xdr:from>
    <xdr:to>
      <xdr:col>0</xdr:col>
      <xdr:colOff>3132574</xdr:colOff>
      <xdr:row>11</xdr:row>
      <xdr:rowOff>36830</xdr:rowOff>
    </xdr:to>
    <xdr:sp>
      <xdr:nvSpPr>
        <xdr:cNvPr id="20" name="Shape 20"/>
        <xdr:cNvSpPr txBox="1"/>
      </xdr:nvSpPr>
      <xdr:spPr>
        <a:xfrm>
          <a:off x="-19050" y="-211455"/>
          <a:ext cx="3132575" cy="3242310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none" lIns="0" tIns="0" rIns="0" bIns="0" numCol="1" anchor="t">
          <a:spAutoFit/>
        </a:bodyPr>
        <a:lstStyle/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32" strike="noStrike" sz="3200" u="none">
              <a:ln>
                <a:noFill/>
              </a:ln>
              <a:solidFill>
                <a:schemeClr val="accent4">
                  <a:hueOff val="-56429"/>
                  <a:satOff val="-3381"/>
                  <a:lumOff val="-14918"/>
                </a:schemeClr>
              </a:solidFill>
              <a:uFillTx/>
              <a:latin typeface="+mn-lt"/>
              <a:ea typeface="+mn-ea"/>
              <a:cs typeface="+mn-cs"/>
              <a:sym typeface="Baskerville"/>
            </a:defRPr>
          </a:pPr>
          <a:r>
            <a:rPr b="0" baseline="0" cap="none" i="0" spc="32" strike="noStrike" sz="3200" u="none">
              <a:ln>
                <a:noFill/>
              </a:ln>
              <a:solidFill>
                <a:schemeClr val="accent4">
                  <a:hueOff val="-56429"/>
                  <a:satOff val="-3381"/>
                  <a:lumOff val="-14918"/>
                </a:schemeClr>
              </a:solidFill>
              <a:uFillTx/>
              <a:latin typeface="+mn-lt"/>
              <a:ea typeface="+mn-ea"/>
              <a:cs typeface="+mn-cs"/>
              <a:sym typeface="Baskerville"/>
            </a:rPr>
            <a:t>Kebbé Bou Emné</a:t>
          </a:r>
          <a:endParaRPr b="0" baseline="0" cap="none" i="0" spc="32" strike="noStrike" sz="3200" u="none">
            <a:ln>
              <a:noFill/>
            </a:ln>
            <a:solidFill>
              <a:schemeClr val="accent4">
                <a:hueOff val="-56429"/>
                <a:satOff val="-3381"/>
                <a:lumOff val="-14918"/>
              </a:schemeClr>
            </a:solidFill>
            <a:uFillTx/>
            <a:latin typeface="+mn-lt"/>
            <a:ea typeface="+mn-ea"/>
            <a:cs typeface="+mn-cs"/>
            <a:sym typeface="Baskerville"/>
          </a:endParaRPr>
        </a:p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32" strike="noStrike" sz="3200" u="none">
              <a:ln>
                <a:noFill/>
              </a:ln>
              <a:solidFill>
                <a:schemeClr val="accent4">
                  <a:hueOff val="-56429"/>
                  <a:satOff val="-3381"/>
                  <a:lumOff val="-14918"/>
                </a:schemeClr>
              </a:solidFill>
              <a:uFillTx/>
              <a:latin typeface="+mn-lt"/>
              <a:ea typeface="+mn-ea"/>
              <a:cs typeface="+mn-cs"/>
              <a:sym typeface="Baskerville"/>
            </a:defRPr>
          </a:pPr>
          <a:endParaRPr b="0" baseline="0" cap="none" i="0" spc="32" strike="noStrike" sz="3200" u="none">
            <a:ln>
              <a:noFill/>
            </a:ln>
            <a:solidFill>
              <a:schemeClr val="accent4">
                <a:hueOff val="-56429"/>
                <a:satOff val="-3381"/>
                <a:lumOff val="-14918"/>
              </a:schemeClr>
            </a:solidFill>
            <a:uFillTx/>
            <a:latin typeface="+mn-lt"/>
            <a:ea typeface="+mn-ea"/>
            <a:cs typeface="+mn-cs"/>
            <a:sym typeface="Baskerville"/>
          </a:endParaRPr>
        </a:p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32" strike="noStrike" sz="3200" u="none">
              <a:ln>
                <a:noFill/>
              </a:ln>
              <a:solidFill>
                <a:schemeClr val="accent4">
                  <a:hueOff val="-56429"/>
                  <a:satOff val="-3381"/>
                  <a:lumOff val="-14918"/>
                </a:schemeClr>
              </a:solidFill>
              <a:uFillTx/>
              <a:latin typeface="+mn-lt"/>
              <a:ea typeface="+mn-ea"/>
              <a:cs typeface="+mn-cs"/>
              <a:sym typeface="Baskerville"/>
            </a:defRPr>
          </a:pPr>
          <a:r>
            <a:rPr b="0" baseline="0" cap="none" i="0" spc="32" strike="noStrike" sz="3200" u="none">
              <a:ln>
                <a:noFill/>
              </a:ln>
              <a:solidFill>
                <a:schemeClr val="accent4">
                  <a:hueOff val="-56429"/>
                  <a:satOff val="-3381"/>
                  <a:lumOff val="-14918"/>
                </a:schemeClr>
              </a:solidFill>
              <a:uFillTx/>
              <a:latin typeface="+mn-lt"/>
              <a:ea typeface="+mn-ea"/>
              <a:cs typeface="+mn-cs"/>
              <a:sym typeface="Baskerville"/>
            </a:rPr>
            <a:t> </a:t>
          </a:r>
          <a:endParaRPr b="0" baseline="0" cap="none" i="0" spc="32" strike="noStrike" sz="3200" u="none">
            <a:ln>
              <a:noFill/>
            </a:ln>
            <a:solidFill>
              <a:schemeClr val="accent4">
                <a:hueOff val="-56429"/>
                <a:satOff val="-3381"/>
                <a:lumOff val="-14918"/>
              </a:schemeClr>
            </a:solidFill>
            <a:uFillTx/>
            <a:latin typeface="+mn-lt"/>
            <a:ea typeface="+mn-ea"/>
            <a:cs typeface="+mn-cs"/>
            <a:sym typeface="Baskerville"/>
          </a:endParaRPr>
        </a:p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32" strike="noStrike" sz="3200" u="none">
              <a:ln>
                <a:noFill/>
              </a:ln>
              <a:solidFill>
                <a:schemeClr val="accent4">
                  <a:hueOff val="-56429"/>
                  <a:satOff val="-3381"/>
                  <a:lumOff val="-14918"/>
                </a:schemeClr>
              </a:solidFill>
              <a:uFillTx/>
              <a:latin typeface="+mn-lt"/>
              <a:ea typeface="+mn-ea"/>
              <a:cs typeface="+mn-cs"/>
              <a:sym typeface="Baskerville"/>
            </a:defRPr>
          </a:pPr>
          <a:endParaRPr b="0" baseline="0" cap="none" i="0" spc="32" strike="noStrike" sz="3200" u="none">
            <a:ln>
              <a:noFill/>
            </a:ln>
            <a:solidFill>
              <a:schemeClr val="accent4">
                <a:hueOff val="-56429"/>
                <a:satOff val="-3381"/>
                <a:lumOff val="-14918"/>
              </a:schemeClr>
            </a:solidFill>
            <a:uFillTx/>
            <a:latin typeface="+mn-lt"/>
            <a:ea typeface="+mn-ea"/>
            <a:cs typeface="+mn-cs"/>
            <a:sym typeface="Baskerville"/>
          </a:endParaRPr>
        </a:p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32" strike="noStrike" sz="3200" u="none">
              <a:ln>
                <a:noFill/>
              </a:ln>
              <a:solidFill>
                <a:schemeClr val="accent4">
                  <a:hueOff val="-56429"/>
                  <a:satOff val="-3381"/>
                  <a:lumOff val="-14918"/>
                </a:schemeClr>
              </a:solidFill>
              <a:uFillTx/>
              <a:latin typeface="+mn-lt"/>
              <a:ea typeface="+mn-ea"/>
              <a:cs typeface="+mn-cs"/>
              <a:sym typeface="Baskerville"/>
            </a:defRPr>
          </a:pPr>
          <a:endParaRPr b="0" baseline="0" cap="none" i="0" spc="32" strike="noStrike" sz="3200" u="none">
            <a:ln>
              <a:noFill/>
            </a:ln>
            <a:solidFill>
              <a:schemeClr val="accent4">
                <a:hueOff val="-56429"/>
                <a:satOff val="-3381"/>
                <a:lumOff val="-14918"/>
              </a:schemeClr>
            </a:solidFill>
            <a:uFillTx/>
            <a:latin typeface="+mn-lt"/>
            <a:ea typeface="+mn-ea"/>
            <a:cs typeface="+mn-cs"/>
            <a:sym typeface="Baskerville"/>
          </a:endParaRPr>
        </a:p>
      </xdr:txBody>
    </xdr:sp>
    <xdr:clientData/>
  </xdr:twoCellAnchor>
  <xdr:twoCellAnchor>
    <xdr:from>
      <xdr:col>0</xdr:col>
      <xdr:colOff>0</xdr:colOff>
      <xdr:row>1</xdr:row>
      <xdr:rowOff>174625</xdr:rowOff>
    </xdr:from>
    <xdr:to>
      <xdr:col>3</xdr:col>
      <xdr:colOff>63500</xdr:colOff>
      <xdr:row>1</xdr:row>
      <xdr:rowOff>174625</xdr:rowOff>
    </xdr:to>
    <xdr:sp>
      <xdr:nvSpPr>
        <xdr:cNvPr id="21" name="Shape 21"/>
        <xdr:cNvSpPr/>
      </xdr:nvSpPr>
      <xdr:spPr>
        <a:xfrm>
          <a:off x="0" y="596900"/>
          <a:ext cx="6858000" cy="1"/>
        </a:xfrm>
        <a:prstGeom prst="line">
          <a:avLst/>
        </a:prstGeom>
        <a:noFill/>
        <a:ln w="12700" cap="flat">
          <a:solidFill>
            <a:srgbClr val="AAAAAA"/>
          </a:solidFill>
          <a:custDash>
            <a:ds d="200000" sp="200000"/>
          </a:custDash>
          <a:miter lim="400000"/>
        </a:ln>
        <a:effectLst/>
      </xdr:spPr>
      <xdr:txBody>
        <a:bodyPr/>
        <a:lstStyle/>
        <a:p>
          <a:pPr/>
        </a:p>
      </xdr:txBody>
    </xdr:sp>
    <xdr:clientData/>
  </xdr:twoCellAnchor>
</xdr:wsDr>
</file>

<file path=xl/drawings/drawing8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0</xdr:colOff>
      <xdr:row>0</xdr:row>
      <xdr:rowOff>0</xdr:rowOff>
    </xdr:from>
    <xdr:to>
      <xdr:col>3</xdr:col>
      <xdr:colOff>800100</xdr:colOff>
      <xdr:row>12</xdr:row>
      <xdr:rowOff>421005</xdr:rowOff>
    </xdr:to>
    <xdr:sp>
      <xdr:nvSpPr>
        <xdr:cNvPr id="23" name="Shape 23"/>
        <xdr:cNvSpPr txBox="1"/>
      </xdr:nvSpPr>
      <xdr:spPr>
        <a:xfrm>
          <a:off x="-114300" y="-358585"/>
          <a:ext cx="6896100" cy="3782696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0" tIns="0" rIns="0" bIns="0" numCol="1" anchor="t">
          <a:spAutoFit/>
        </a:bodyPr>
        <a:lstStyle/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32" strike="noStrike" sz="3200" u="none">
              <a:ln>
                <a:noFill/>
              </a:ln>
              <a:solidFill>
                <a:schemeClr val="accent4">
                  <a:hueOff val="-56429"/>
                  <a:satOff val="-3381"/>
                  <a:lumOff val="-14918"/>
                </a:schemeClr>
              </a:solidFill>
              <a:uFillTx/>
              <a:latin typeface="+mn-lt"/>
              <a:ea typeface="+mn-ea"/>
              <a:cs typeface="+mn-cs"/>
              <a:sym typeface="Baskerville"/>
            </a:defRPr>
          </a:pPr>
          <a:r>
            <a:rPr b="0" baseline="0" cap="none" i="0" spc="32" strike="noStrike" sz="3200" u="none">
              <a:ln>
                <a:noFill/>
              </a:ln>
              <a:solidFill>
                <a:schemeClr val="accent4">
                  <a:hueOff val="-56429"/>
                  <a:satOff val="-3381"/>
                  <a:lumOff val="-14918"/>
                </a:schemeClr>
              </a:solidFill>
              <a:uFillTx/>
              <a:latin typeface="+mn-lt"/>
              <a:ea typeface="+mn-ea"/>
              <a:cs typeface="+mn-cs"/>
              <a:sym typeface="Baskerville"/>
            </a:rPr>
            <a:t>Kebbet La’tin</a:t>
          </a:r>
          <a:endParaRPr b="0" baseline="0" cap="none" i="0" spc="32" strike="noStrike" sz="3200" u="none">
            <a:ln>
              <a:noFill/>
            </a:ln>
            <a:solidFill>
              <a:schemeClr val="accent4">
                <a:hueOff val="-56429"/>
                <a:satOff val="-3381"/>
                <a:lumOff val="-14918"/>
              </a:schemeClr>
            </a:solidFill>
            <a:uFillTx/>
            <a:latin typeface="+mn-lt"/>
            <a:ea typeface="+mn-ea"/>
            <a:cs typeface="+mn-cs"/>
            <a:sym typeface="Baskerville"/>
          </a:endParaRPr>
        </a:p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32" strike="noStrike" sz="3200" u="none">
              <a:ln>
                <a:noFill/>
              </a:ln>
              <a:solidFill>
                <a:schemeClr val="accent4">
                  <a:hueOff val="-56429"/>
                  <a:satOff val="-3381"/>
                  <a:lumOff val="-14918"/>
                </a:schemeClr>
              </a:solidFill>
              <a:uFillTx/>
              <a:latin typeface="+mn-lt"/>
              <a:ea typeface="+mn-ea"/>
              <a:cs typeface="+mn-cs"/>
              <a:sym typeface="Baskerville"/>
            </a:defRPr>
          </a:pPr>
          <a:endParaRPr b="0" baseline="0" cap="none" i="0" spc="32" strike="noStrike" sz="3200" u="none">
            <a:ln>
              <a:noFill/>
            </a:ln>
            <a:solidFill>
              <a:schemeClr val="accent4">
                <a:hueOff val="-56429"/>
                <a:satOff val="-3381"/>
                <a:lumOff val="-14918"/>
              </a:schemeClr>
            </a:solidFill>
            <a:uFillTx/>
            <a:latin typeface="+mn-lt"/>
            <a:ea typeface="+mn-ea"/>
            <a:cs typeface="+mn-cs"/>
            <a:sym typeface="Baskerville"/>
          </a:endParaRPr>
        </a:p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32" strike="noStrike" sz="3200" u="none">
              <a:ln>
                <a:noFill/>
              </a:ln>
              <a:solidFill>
                <a:schemeClr val="accent4">
                  <a:hueOff val="-56429"/>
                  <a:satOff val="-3381"/>
                  <a:lumOff val="-14918"/>
                </a:schemeClr>
              </a:solidFill>
              <a:uFillTx/>
              <a:latin typeface="+mn-lt"/>
              <a:ea typeface="+mn-ea"/>
              <a:cs typeface="+mn-cs"/>
              <a:sym typeface="Baskerville"/>
            </a:defRPr>
          </a:pPr>
          <a:endParaRPr b="0" baseline="0" cap="none" i="0" spc="32" strike="noStrike" sz="3200" u="none">
            <a:ln>
              <a:noFill/>
            </a:ln>
            <a:solidFill>
              <a:schemeClr val="accent4">
                <a:hueOff val="-56429"/>
                <a:satOff val="-3381"/>
                <a:lumOff val="-14918"/>
              </a:schemeClr>
            </a:solidFill>
            <a:uFillTx/>
            <a:latin typeface="+mn-lt"/>
            <a:ea typeface="+mn-ea"/>
            <a:cs typeface="+mn-cs"/>
            <a:sym typeface="Baskerville"/>
          </a:endParaRPr>
        </a:p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32" strike="noStrike" sz="3200" u="none">
              <a:ln>
                <a:noFill/>
              </a:ln>
              <a:solidFill>
                <a:schemeClr val="accent4">
                  <a:hueOff val="-56429"/>
                  <a:satOff val="-3381"/>
                  <a:lumOff val="-14918"/>
                </a:schemeClr>
              </a:solidFill>
              <a:uFillTx/>
              <a:latin typeface="+mn-lt"/>
              <a:ea typeface="+mn-ea"/>
              <a:cs typeface="+mn-cs"/>
              <a:sym typeface="Baskerville"/>
            </a:defRPr>
          </a:pPr>
          <a:r>
            <a:rPr b="0" baseline="0" cap="none" i="0" spc="32" strike="noStrike" sz="3200" u="none">
              <a:ln>
                <a:noFill/>
              </a:ln>
              <a:solidFill>
                <a:schemeClr val="accent4">
                  <a:hueOff val="-56429"/>
                  <a:satOff val="-3381"/>
                  <a:lumOff val="-14918"/>
                </a:schemeClr>
              </a:solidFill>
              <a:uFillTx/>
              <a:latin typeface="+mn-lt"/>
              <a:ea typeface="+mn-ea"/>
              <a:cs typeface="+mn-cs"/>
              <a:sym typeface="Baskerville"/>
            </a:rPr>
            <a:t> </a:t>
          </a:r>
          <a:endParaRPr b="0" baseline="0" cap="none" i="0" spc="32" strike="noStrike" sz="3200" u="none">
            <a:ln>
              <a:noFill/>
            </a:ln>
            <a:solidFill>
              <a:schemeClr val="accent4">
                <a:hueOff val="-56429"/>
                <a:satOff val="-3381"/>
                <a:lumOff val="-14918"/>
              </a:schemeClr>
            </a:solidFill>
            <a:uFillTx/>
            <a:latin typeface="+mn-lt"/>
            <a:ea typeface="+mn-ea"/>
            <a:cs typeface="+mn-cs"/>
            <a:sym typeface="Baskerville"/>
          </a:endParaRPr>
        </a:p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32" strike="noStrike" sz="3200" u="none">
              <a:ln>
                <a:noFill/>
              </a:ln>
              <a:solidFill>
                <a:schemeClr val="accent4">
                  <a:hueOff val="-56429"/>
                  <a:satOff val="-3381"/>
                  <a:lumOff val="-14918"/>
                </a:schemeClr>
              </a:solidFill>
              <a:uFillTx/>
              <a:latin typeface="+mn-lt"/>
              <a:ea typeface="+mn-ea"/>
              <a:cs typeface="+mn-cs"/>
              <a:sym typeface="Baskerville"/>
            </a:defRPr>
          </a:pPr>
          <a:endParaRPr b="0" baseline="0" cap="none" i="0" spc="32" strike="noStrike" sz="3200" u="none">
            <a:ln>
              <a:noFill/>
            </a:ln>
            <a:solidFill>
              <a:schemeClr val="accent4">
                <a:hueOff val="-56429"/>
                <a:satOff val="-3381"/>
                <a:lumOff val="-14918"/>
              </a:schemeClr>
            </a:solidFill>
            <a:uFillTx/>
            <a:latin typeface="+mn-lt"/>
            <a:ea typeface="+mn-ea"/>
            <a:cs typeface="+mn-cs"/>
            <a:sym typeface="Baskerville"/>
          </a:endParaRPr>
        </a:p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32" strike="noStrike" sz="3200" u="none">
              <a:ln>
                <a:noFill/>
              </a:ln>
              <a:solidFill>
                <a:schemeClr val="accent4">
                  <a:hueOff val="-56429"/>
                  <a:satOff val="-3381"/>
                  <a:lumOff val="-14918"/>
                </a:schemeClr>
              </a:solidFill>
              <a:uFillTx/>
              <a:latin typeface="+mn-lt"/>
              <a:ea typeface="+mn-ea"/>
              <a:cs typeface="+mn-cs"/>
              <a:sym typeface="Baskerville"/>
            </a:defRPr>
          </a:pPr>
          <a:endParaRPr b="0" baseline="0" cap="none" i="0" spc="32" strike="noStrike" sz="3200" u="none">
            <a:ln>
              <a:noFill/>
            </a:ln>
            <a:solidFill>
              <a:schemeClr val="accent4">
                <a:hueOff val="-56429"/>
                <a:satOff val="-3381"/>
                <a:lumOff val="-14918"/>
              </a:schemeClr>
            </a:solidFill>
            <a:uFillTx/>
            <a:latin typeface="+mn-lt"/>
            <a:ea typeface="+mn-ea"/>
            <a:cs typeface="+mn-cs"/>
            <a:sym typeface="Baskerville"/>
          </a:endParaRPr>
        </a:p>
      </xdr:txBody>
    </xdr:sp>
    <xdr:clientData/>
  </xdr:twoCellAnchor>
  <xdr:twoCellAnchor>
    <xdr:from>
      <xdr:col>0</xdr:col>
      <xdr:colOff>0</xdr:colOff>
      <xdr:row>0</xdr:row>
      <xdr:rowOff>190500</xdr:rowOff>
    </xdr:from>
    <xdr:to>
      <xdr:col>3</xdr:col>
      <xdr:colOff>762000</xdr:colOff>
      <xdr:row>0</xdr:row>
      <xdr:rowOff>190500</xdr:rowOff>
    </xdr:to>
    <xdr:sp>
      <xdr:nvSpPr>
        <xdr:cNvPr id="24" name="Shape 24"/>
        <xdr:cNvSpPr/>
      </xdr:nvSpPr>
      <xdr:spPr>
        <a:xfrm>
          <a:off x="-86344" y="190499"/>
          <a:ext cx="6858001" cy="2"/>
        </a:xfrm>
        <a:prstGeom prst="line">
          <a:avLst/>
        </a:prstGeom>
        <a:noFill/>
        <a:ln w="12700" cap="flat">
          <a:solidFill>
            <a:srgbClr val="AAAAAA"/>
          </a:solidFill>
          <a:custDash>
            <a:ds d="200000" sp="200000"/>
          </a:custDash>
          <a:miter lim="400000"/>
        </a:ln>
        <a:effectLst/>
      </xdr:spPr>
      <xdr:txBody>
        <a:bodyPr/>
        <a:lstStyle/>
        <a:p>
          <a:pPr/>
        </a:p>
      </xdr:txBody>
    </xdr:sp>
    <xdr:clientData/>
  </xdr:twoCellAnchor>
</xdr:wsDr>
</file>

<file path=xl/drawings/drawing9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0</xdr:colOff>
      <xdr:row>0</xdr:row>
      <xdr:rowOff>0</xdr:rowOff>
    </xdr:from>
    <xdr:to>
      <xdr:col>1</xdr:col>
      <xdr:colOff>601543</xdr:colOff>
      <xdr:row>9</xdr:row>
      <xdr:rowOff>168275</xdr:rowOff>
    </xdr:to>
    <xdr:sp>
      <xdr:nvSpPr>
        <xdr:cNvPr id="26" name="Shape 26"/>
        <xdr:cNvSpPr txBox="1"/>
      </xdr:nvSpPr>
      <xdr:spPr>
        <a:xfrm>
          <a:off x="-19050" y="-211455"/>
          <a:ext cx="4906844" cy="3242310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none" lIns="0" tIns="0" rIns="0" bIns="0" numCol="1" anchor="t">
          <a:spAutoFit/>
        </a:bodyPr>
        <a:lstStyle/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32" strike="noStrike" sz="3200" u="none">
              <a:ln>
                <a:noFill/>
              </a:ln>
              <a:solidFill>
                <a:schemeClr val="accent4">
                  <a:hueOff val="-56429"/>
                  <a:satOff val="-3381"/>
                  <a:lumOff val="-14918"/>
                </a:schemeClr>
              </a:solidFill>
              <a:uFillTx/>
              <a:latin typeface="+mn-lt"/>
              <a:ea typeface="+mn-ea"/>
              <a:cs typeface="+mn-cs"/>
              <a:sym typeface="Baskerville"/>
            </a:defRPr>
          </a:pPr>
          <a:r>
            <a:rPr b="0" baseline="0" cap="none" i="0" spc="32" strike="noStrike" sz="3200" u="none">
              <a:ln>
                <a:noFill/>
              </a:ln>
              <a:solidFill>
                <a:schemeClr val="accent4">
                  <a:hueOff val="-56429"/>
                  <a:satOff val="-3381"/>
                  <a:lumOff val="-14918"/>
                </a:schemeClr>
              </a:solidFill>
              <a:uFillTx/>
              <a:latin typeface="+mn-lt"/>
              <a:ea typeface="+mn-ea"/>
              <a:cs typeface="+mn-cs"/>
              <a:sym typeface="Baskerville"/>
            </a:rPr>
            <a:t>Spiced Butter E’rass (1 Unit)</a:t>
          </a:r>
          <a:endParaRPr b="0" baseline="0" cap="none" i="0" spc="32" strike="noStrike" sz="3200" u="none">
            <a:ln>
              <a:noFill/>
            </a:ln>
            <a:solidFill>
              <a:schemeClr val="accent4">
                <a:hueOff val="-56429"/>
                <a:satOff val="-3381"/>
                <a:lumOff val="-14918"/>
              </a:schemeClr>
            </a:solidFill>
            <a:uFillTx/>
            <a:latin typeface="+mn-lt"/>
            <a:ea typeface="+mn-ea"/>
            <a:cs typeface="+mn-cs"/>
            <a:sym typeface="Baskerville"/>
          </a:endParaRPr>
        </a:p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32" strike="noStrike" sz="3200" u="none">
              <a:ln>
                <a:noFill/>
              </a:ln>
              <a:solidFill>
                <a:schemeClr val="accent4">
                  <a:hueOff val="-56429"/>
                  <a:satOff val="-3381"/>
                  <a:lumOff val="-14918"/>
                </a:schemeClr>
              </a:solidFill>
              <a:uFillTx/>
              <a:latin typeface="+mn-lt"/>
              <a:ea typeface="+mn-ea"/>
              <a:cs typeface="+mn-cs"/>
              <a:sym typeface="Baskerville"/>
            </a:defRPr>
          </a:pPr>
          <a:endParaRPr b="0" baseline="0" cap="none" i="0" spc="32" strike="noStrike" sz="3200" u="none">
            <a:ln>
              <a:noFill/>
            </a:ln>
            <a:solidFill>
              <a:schemeClr val="accent4">
                <a:hueOff val="-56429"/>
                <a:satOff val="-3381"/>
                <a:lumOff val="-14918"/>
              </a:schemeClr>
            </a:solidFill>
            <a:uFillTx/>
            <a:latin typeface="+mn-lt"/>
            <a:ea typeface="+mn-ea"/>
            <a:cs typeface="+mn-cs"/>
            <a:sym typeface="Baskerville"/>
          </a:endParaRPr>
        </a:p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32" strike="noStrike" sz="3200" u="none">
              <a:ln>
                <a:noFill/>
              </a:ln>
              <a:solidFill>
                <a:schemeClr val="accent4">
                  <a:hueOff val="-56429"/>
                  <a:satOff val="-3381"/>
                  <a:lumOff val="-14918"/>
                </a:schemeClr>
              </a:solidFill>
              <a:uFillTx/>
              <a:latin typeface="+mn-lt"/>
              <a:ea typeface="+mn-ea"/>
              <a:cs typeface="+mn-cs"/>
              <a:sym typeface="Baskerville"/>
            </a:defRPr>
          </a:pPr>
          <a:endParaRPr b="0" baseline="0" cap="none" i="0" spc="32" strike="noStrike" sz="3200" u="none">
            <a:ln>
              <a:noFill/>
            </a:ln>
            <a:solidFill>
              <a:schemeClr val="accent4">
                <a:hueOff val="-56429"/>
                <a:satOff val="-3381"/>
                <a:lumOff val="-14918"/>
              </a:schemeClr>
            </a:solidFill>
            <a:uFillTx/>
            <a:latin typeface="+mn-lt"/>
            <a:ea typeface="+mn-ea"/>
            <a:cs typeface="+mn-cs"/>
            <a:sym typeface="Baskerville"/>
          </a:endParaRPr>
        </a:p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32" strike="noStrike" sz="3200" u="none">
              <a:ln>
                <a:noFill/>
              </a:ln>
              <a:solidFill>
                <a:schemeClr val="accent4">
                  <a:hueOff val="-56429"/>
                  <a:satOff val="-3381"/>
                  <a:lumOff val="-14918"/>
                </a:schemeClr>
              </a:solidFill>
              <a:uFillTx/>
              <a:latin typeface="+mn-lt"/>
              <a:ea typeface="+mn-ea"/>
              <a:cs typeface="+mn-cs"/>
              <a:sym typeface="Baskerville"/>
            </a:defRPr>
          </a:pPr>
          <a:endParaRPr b="0" baseline="0" cap="none" i="0" spc="32" strike="noStrike" sz="3200" u="none">
            <a:ln>
              <a:noFill/>
            </a:ln>
            <a:solidFill>
              <a:schemeClr val="accent4">
                <a:hueOff val="-56429"/>
                <a:satOff val="-3381"/>
                <a:lumOff val="-14918"/>
              </a:schemeClr>
            </a:solidFill>
            <a:uFillTx/>
            <a:latin typeface="+mn-lt"/>
            <a:ea typeface="+mn-ea"/>
            <a:cs typeface="+mn-cs"/>
            <a:sym typeface="Baskerville"/>
          </a:endParaRPr>
        </a:p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32" strike="noStrike" sz="3200" u="none">
              <a:ln>
                <a:noFill/>
              </a:ln>
              <a:solidFill>
                <a:schemeClr val="accent4">
                  <a:hueOff val="-56429"/>
                  <a:satOff val="-3381"/>
                  <a:lumOff val="-14918"/>
                </a:schemeClr>
              </a:solidFill>
              <a:uFillTx/>
              <a:latin typeface="+mn-lt"/>
              <a:ea typeface="+mn-ea"/>
              <a:cs typeface="+mn-cs"/>
              <a:sym typeface="Baskerville"/>
            </a:defRPr>
          </a:pPr>
          <a:endParaRPr b="0" baseline="0" cap="none" i="0" spc="32" strike="noStrike" sz="3200" u="none">
            <a:ln>
              <a:noFill/>
            </a:ln>
            <a:solidFill>
              <a:schemeClr val="accent4">
                <a:hueOff val="-56429"/>
                <a:satOff val="-3381"/>
                <a:lumOff val="-14918"/>
              </a:schemeClr>
            </a:solidFill>
            <a:uFillTx/>
            <a:latin typeface="+mn-lt"/>
            <a:ea typeface="+mn-ea"/>
            <a:cs typeface="+mn-cs"/>
            <a:sym typeface="Baskerville"/>
          </a:endParaRPr>
        </a:p>
      </xdr:txBody>
    </xdr:sp>
    <xdr:clientData/>
  </xdr:twoCellAnchor>
  <xdr:twoCellAnchor>
    <xdr:from>
      <xdr:col>0</xdr:col>
      <xdr:colOff>0</xdr:colOff>
      <xdr:row>0</xdr:row>
      <xdr:rowOff>596900</xdr:rowOff>
    </xdr:from>
    <xdr:to>
      <xdr:col>3</xdr:col>
      <xdr:colOff>76200</xdr:colOff>
      <xdr:row>0</xdr:row>
      <xdr:rowOff>596900</xdr:rowOff>
    </xdr:to>
    <xdr:sp>
      <xdr:nvSpPr>
        <xdr:cNvPr id="27" name="Shape 27"/>
        <xdr:cNvSpPr/>
      </xdr:nvSpPr>
      <xdr:spPr>
        <a:xfrm>
          <a:off x="0" y="596900"/>
          <a:ext cx="6858000" cy="1"/>
        </a:xfrm>
        <a:prstGeom prst="line">
          <a:avLst/>
        </a:prstGeom>
        <a:noFill/>
        <a:ln w="12700" cap="flat">
          <a:solidFill>
            <a:srgbClr val="AAAAAA"/>
          </a:solidFill>
          <a:custDash>
            <a:ds d="200000" sp="200000"/>
          </a:custDash>
          <a:miter lim="400000"/>
        </a:ln>
        <a:effectLst/>
      </xdr:spPr>
      <xdr:txBody>
        <a:bodyPr/>
        <a:lstStyle/>
        <a:p>
          <a:pPr/>
        </a:p>
      </xdr:txBody>
    </xdr:sp>
    <xdr:clientData/>
  </xdr:twoCellAnchor>
</xdr:wsDr>
</file>

<file path=xl/drawings/drawing10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0</xdr:colOff>
      <xdr:row>0</xdr:row>
      <xdr:rowOff>0</xdr:rowOff>
    </xdr:from>
    <xdr:to>
      <xdr:col>0</xdr:col>
      <xdr:colOff>4673298</xdr:colOff>
      <xdr:row>8</xdr:row>
      <xdr:rowOff>137795</xdr:rowOff>
    </xdr:to>
    <xdr:sp>
      <xdr:nvSpPr>
        <xdr:cNvPr id="29" name="Shape 29"/>
        <xdr:cNvSpPr txBox="1"/>
      </xdr:nvSpPr>
      <xdr:spPr>
        <a:xfrm>
          <a:off x="-19050" y="-176213"/>
          <a:ext cx="4673299" cy="2701926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none" lIns="0" tIns="0" rIns="0" bIns="0" numCol="1" anchor="t">
          <a:spAutoFit/>
        </a:bodyPr>
        <a:lstStyle/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32" strike="noStrike" sz="3200" u="none">
              <a:ln>
                <a:noFill/>
              </a:ln>
              <a:solidFill>
                <a:schemeClr val="accent4">
                  <a:hueOff val="-56429"/>
                  <a:satOff val="-3381"/>
                  <a:lumOff val="-14918"/>
                </a:schemeClr>
              </a:solidFill>
              <a:uFillTx/>
              <a:latin typeface="+mn-lt"/>
              <a:ea typeface="+mn-ea"/>
              <a:cs typeface="+mn-cs"/>
              <a:sym typeface="Baskerville"/>
            </a:defRPr>
          </a:pPr>
          <a:r>
            <a:rPr b="0" baseline="0" cap="none" i="0" spc="32" strike="noStrike" sz="3200" u="none">
              <a:ln>
                <a:noFill/>
              </a:ln>
              <a:solidFill>
                <a:schemeClr val="accent4">
                  <a:hueOff val="-56429"/>
                  <a:satOff val="-3381"/>
                  <a:lumOff val="-14918"/>
                </a:schemeClr>
              </a:solidFill>
              <a:uFillTx/>
              <a:latin typeface="+mn-lt"/>
              <a:ea typeface="+mn-ea"/>
              <a:cs typeface="+mn-cs"/>
              <a:sym typeface="Baskerville"/>
            </a:rPr>
            <a:t>Kabkoubé Avocado (1 size)</a:t>
          </a:r>
          <a:endParaRPr b="0" baseline="0" cap="none" i="0" spc="32" strike="noStrike" sz="3200" u="none">
            <a:ln>
              <a:noFill/>
            </a:ln>
            <a:solidFill>
              <a:schemeClr val="accent4">
                <a:hueOff val="-56429"/>
                <a:satOff val="-3381"/>
                <a:lumOff val="-14918"/>
              </a:schemeClr>
            </a:solidFill>
            <a:uFillTx/>
            <a:latin typeface="+mn-lt"/>
            <a:ea typeface="+mn-ea"/>
            <a:cs typeface="+mn-cs"/>
            <a:sym typeface="Baskerville"/>
          </a:endParaRPr>
        </a:p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32" strike="noStrike" sz="3200" u="none">
              <a:ln>
                <a:noFill/>
              </a:ln>
              <a:solidFill>
                <a:schemeClr val="accent4">
                  <a:hueOff val="-56429"/>
                  <a:satOff val="-3381"/>
                  <a:lumOff val="-14918"/>
                </a:schemeClr>
              </a:solidFill>
              <a:uFillTx/>
              <a:latin typeface="+mn-lt"/>
              <a:ea typeface="+mn-ea"/>
              <a:cs typeface="+mn-cs"/>
              <a:sym typeface="Baskerville"/>
            </a:defRPr>
          </a:pPr>
          <a:endParaRPr b="0" baseline="0" cap="none" i="0" spc="32" strike="noStrike" sz="3200" u="none">
            <a:ln>
              <a:noFill/>
            </a:ln>
            <a:solidFill>
              <a:schemeClr val="accent4">
                <a:hueOff val="-56429"/>
                <a:satOff val="-3381"/>
                <a:lumOff val="-14918"/>
              </a:schemeClr>
            </a:solidFill>
            <a:uFillTx/>
            <a:latin typeface="+mn-lt"/>
            <a:ea typeface="+mn-ea"/>
            <a:cs typeface="+mn-cs"/>
            <a:sym typeface="Baskerville"/>
          </a:endParaRPr>
        </a:p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32" strike="noStrike" sz="3200" u="none">
              <a:ln>
                <a:noFill/>
              </a:ln>
              <a:solidFill>
                <a:schemeClr val="accent4">
                  <a:hueOff val="-56429"/>
                  <a:satOff val="-3381"/>
                  <a:lumOff val="-14918"/>
                </a:schemeClr>
              </a:solidFill>
              <a:uFillTx/>
              <a:latin typeface="+mn-lt"/>
              <a:ea typeface="+mn-ea"/>
              <a:cs typeface="+mn-cs"/>
              <a:sym typeface="Baskerville"/>
            </a:defRPr>
          </a:pPr>
          <a:endParaRPr b="0" baseline="0" cap="none" i="0" spc="32" strike="noStrike" sz="3200" u="none">
            <a:ln>
              <a:noFill/>
            </a:ln>
            <a:solidFill>
              <a:schemeClr val="accent4">
                <a:hueOff val="-56429"/>
                <a:satOff val="-3381"/>
                <a:lumOff val="-14918"/>
              </a:schemeClr>
            </a:solidFill>
            <a:uFillTx/>
            <a:latin typeface="+mn-lt"/>
            <a:ea typeface="+mn-ea"/>
            <a:cs typeface="+mn-cs"/>
            <a:sym typeface="Baskerville"/>
          </a:endParaRPr>
        </a:p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32" strike="noStrike" sz="3200" u="none">
              <a:ln>
                <a:noFill/>
              </a:ln>
              <a:solidFill>
                <a:schemeClr val="accent4">
                  <a:hueOff val="-56429"/>
                  <a:satOff val="-3381"/>
                  <a:lumOff val="-14918"/>
                </a:schemeClr>
              </a:solidFill>
              <a:uFillTx/>
              <a:latin typeface="+mn-lt"/>
              <a:ea typeface="+mn-ea"/>
              <a:cs typeface="+mn-cs"/>
              <a:sym typeface="Baskerville"/>
            </a:defRPr>
          </a:pPr>
          <a:endParaRPr b="0" baseline="0" cap="none" i="0" spc="32" strike="noStrike" sz="3200" u="none">
            <a:ln>
              <a:noFill/>
            </a:ln>
            <a:solidFill>
              <a:schemeClr val="accent4">
                <a:hueOff val="-56429"/>
                <a:satOff val="-3381"/>
                <a:lumOff val="-14918"/>
              </a:schemeClr>
            </a:solidFill>
            <a:uFillTx/>
            <a:latin typeface="+mn-lt"/>
            <a:ea typeface="+mn-ea"/>
            <a:cs typeface="+mn-cs"/>
            <a:sym typeface="Baskerville"/>
          </a:endParaRPr>
        </a:p>
      </xdr:txBody>
    </xdr:sp>
    <xdr:clientData/>
  </xdr:twoCellAnchor>
  <xdr:twoCellAnchor>
    <xdr:from>
      <xdr:col>0</xdr:col>
      <xdr:colOff>0</xdr:colOff>
      <xdr:row>1</xdr:row>
      <xdr:rowOff>6350</xdr:rowOff>
    </xdr:from>
    <xdr:to>
      <xdr:col>2</xdr:col>
      <xdr:colOff>723900</xdr:colOff>
      <xdr:row>1</xdr:row>
      <xdr:rowOff>6350</xdr:rowOff>
    </xdr:to>
    <xdr:sp>
      <xdr:nvSpPr>
        <xdr:cNvPr id="30" name="Shape 30"/>
        <xdr:cNvSpPr/>
      </xdr:nvSpPr>
      <xdr:spPr>
        <a:xfrm>
          <a:off x="0" y="596900"/>
          <a:ext cx="6858000" cy="1"/>
        </a:xfrm>
        <a:prstGeom prst="line">
          <a:avLst/>
        </a:prstGeom>
        <a:noFill/>
        <a:ln w="12700" cap="flat">
          <a:solidFill>
            <a:srgbClr val="AAAAAA"/>
          </a:solidFill>
          <a:custDash>
            <a:ds d="200000" sp="200000"/>
          </a:custDash>
          <a:miter lim="400000"/>
        </a:ln>
        <a:effectLst/>
      </xdr:spPr>
      <xdr:txBody>
        <a:bodyPr/>
        <a:lstStyle/>
        <a:p>
          <a:pPr/>
        </a:p>
      </xdr:txBody>
    </xdr:sp>
    <xdr:clientData/>
  </xdr:twoCellAnchor>
</xdr:wsDr>
</file>

<file path=xl/drawings/drawing1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0</xdr:colOff>
      <xdr:row>0</xdr:row>
      <xdr:rowOff>0</xdr:rowOff>
    </xdr:from>
    <xdr:to>
      <xdr:col>0</xdr:col>
      <xdr:colOff>2706433</xdr:colOff>
      <xdr:row>13</xdr:row>
      <xdr:rowOff>241934</xdr:rowOff>
    </xdr:to>
    <xdr:sp>
      <xdr:nvSpPr>
        <xdr:cNvPr id="32" name="Shape 32"/>
        <xdr:cNvSpPr txBox="1"/>
      </xdr:nvSpPr>
      <xdr:spPr>
        <a:xfrm>
          <a:off x="-19050" y="-281940"/>
          <a:ext cx="2706434" cy="4323080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none" lIns="0" tIns="0" rIns="0" bIns="0" numCol="1" anchor="t">
          <a:spAutoFit/>
        </a:bodyPr>
        <a:lstStyle/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32" strike="noStrike" sz="3200" u="none">
              <a:ln>
                <a:noFill/>
              </a:ln>
              <a:solidFill>
                <a:schemeClr val="accent4">
                  <a:hueOff val="-56429"/>
                  <a:satOff val="-3381"/>
                  <a:lumOff val="-14918"/>
                </a:schemeClr>
              </a:solidFill>
              <a:uFillTx/>
              <a:latin typeface="+mn-lt"/>
              <a:ea typeface="+mn-ea"/>
              <a:cs typeface="+mn-cs"/>
              <a:sym typeface="Baskerville"/>
            </a:defRPr>
          </a:pPr>
          <a:r>
            <a:rPr b="0" baseline="0" cap="none" i="0" spc="32" strike="noStrike" sz="3200" u="none">
              <a:ln>
                <a:noFill/>
              </a:ln>
              <a:solidFill>
                <a:schemeClr val="accent4">
                  <a:hueOff val="-56429"/>
                  <a:satOff val="-3381"/>
                  <a:lumOff val="-14918"/>
                </a:schemeClr>
              </a:solidFill>
              <a:uFillTx/>
              <a:latin typeface="+mn-lt"/>
              <a:ea typeface="+mn-ea"/>
              <a:cs typeface="+mn-cs"/>
              <a:sym typeface="Baskerville"/>
            </a:rPr>
            <a:t>Kabkoubé Feta</a:t>
          </a:r>
          <a:endParaRPr b="0" baseline="0" cap="none" i="0" spc="32" strike="noStrike" sz="3200" u="none">
            <a:ln>
              <a:noFill/>
            </a:ln>
            <a:solidFill>
              <a:schemeClr val="accent4">
                <a:hueOff val="-56429"/>
                <a:satOff val="-3381"/>
                <a:lumOff val="-14918"/>
              </a:schemeClr>
            </a:solidFill>
            <a:uFillTx/>
            <a:latin typeface="+mn-lt"/>
            <a:ea typeface="+mn-ea"/>
            <a:cs typeface="+mn-cs"/>
            <a:sym typeface="Baskerville"/>
          </a:endParaRPr>
        </a:p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32" strike="noStrike" sz="3200" u="none">
              <a:ln>
                <a:noFill/>
              </a:ln>
              <a:solidFill>
                <a:schemeClr val="accent4">
                  <a:hueOff val="-56429"/>
                  <a:satOff val="-3381"/>
                  <a:lumOff val="-14918"/>
                </a:schemeClr>
              </a:solidFill>
              <a:uFillTx/>
              <a:latin typeface="+mn-lt"/>
              <a:ea typeface="+mn-ea"/>
              <a:cs typeface="+mn-cs"/>
              <a:sym typeface="Baskerville"/>
            </a:defRPr>
          </a:pPr>
          <a:endParaRPr b="0" baseline="0" cap="none" i="0" spc="32" strike="noStrike" sz="3200" u="none">
            <a:ln>
              <a:noFill/>
            </a:ln>
            <a:solidFill>
              <a:schemeClr val="accent4">
                <a:hueOff val="-56429"/>
                <a:satOff val="-3381"/>
                <a:lumOff val="-14918"/>
              </a:schemeClr>
            </a:solidFill>
            <a:uFillTx/>
            <a:latin typeface="+mn-lt"/>
            <a:ea typeface="+mn-ea"/>
            <a:cs typeface="+mn-cs"/>
            <a:sym typeface="Baskerville"/>
          </a:endParaRPr>
        </a:p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32" strike="noStrike" sz="3200" u="none">
              <a:ln>
                <a:noFill/>
              </a:ln>
              <a:solidFill>
                <a:schemeClr val="accent4">
                  <a:hueOff val="-56429"/>
                  <a:satOff val="-3381"/>
                  <a:lumOff val="-14918"/>
                </a:schemeClr>
              </a:solidFill>
              <a:uFillTx/>
              <a:latin typeface="+mn-lt"/>
              <a:ea typeface="+mn-ea"/>
              <a:cs typeface="+mn-cs"/>
              <a:sym typeface="Baskerville"/>
            </a:defRPr>
          </a:pPr>
          <a:endParaRPr b="0" baseline="0" cap="none" i="0" spc="32" strike="noStrike" sz="3200" u="none">
            <a:ln>
              <a:noFill/>
            </a:ln>
            <a:solidFill>
              <a:schemeClr val="accent4">
                <a:hueOff val="-56429"/>
                <a:satOff val="-3381"/>
                <a:lumOff val="-14918"/>
              </a:schemeClr>
            </a:solidFill>
            <a:uFillTx/>
            <a:latin typeface="+mn-lt"/>
            <a:ea typeface="+mn-ea"/>
            <a:cs typeface="+mn-cs"/>
            <a:sym typeface="Baskerville"/>
          </a:endParaRPr>
        </a:p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32" strike="noStrike" sz="3200" u="none">
              <a:ln>
                <a:noFill/>
              </a:ln>
              <a:solidFill>
                <a:schemeClr val="accent4">
                  <a:hueOff val="-56429"/>
                  <a:satOff val="-3381"/>
                  <a:lumOff val="-14918"/>
                </a:schemeClr>
              </a:solidFill>
              <a:uFillTx/>
              <a:latin typeface="+mn-lt"/>
              <a:ea typeface="+mn-ea"/>
              <a:cs typeface="+mn-cs"/>
              <a:sym typeface="Baskerville"/>
            </a:defRPr>
          </a:pPr>
          <a:endParaRPr b="0" baseline="0" cap="none" i="0" spc="32" strike="noStrike" sz="3200" u="none">
            <a:ln>
              <a:noFill/>
            </a:ln>
            <a:solidFill>
              <a:schemeClr val="accent4">
                <a:hueOff val="-56429"/>
                <a:satOff val="-3381"/>
                <a:lumOff val="-14918"/>
              </a:schemeClr>
            </a:solidFill>
            <a:uFillTx/>
            <a:latin typeface="+mn-lt"/>
            <a:ea typeface="+mn-ea"/>
            <a:cs typeface="+mn-cs"/>
            <a:sym typeface="Baskerville"/>
          </a:endParaRPr>
        </a:p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32" strike="noStrike" sz="3200" u="none">
              <a:ln>
                <a:noFill/>
              </a:ln>
              <a:solidFill>
                <a:schemeClr val="accent4">
                  <a:hueOff val="-56429"/>
                  <a:satOff val="-3381"/>
                  <a:lumOff val="-14918"/>
                </a:schemeClr>
              </a:solidFill>
              <a:uFillTx/>
              <a:latin typeface="+mn-lt"/>
              <a:ea typeface="+mn-ea"/>
              <a:cs typeface="+mn-cs"/>
              <a:sym typeface="Baskerville"/>
            </a:defRPr>
          </a:pPr>
          <a:endParaRPr b="0" baseline="0" cap="none" i="0" spc="32" strike="noStrike" sz="3200" u="none">
            <a:ln>
              <a:noFill/>
            </a:ln>
            <a:solidFill>
              <a:schemeClr val="accent4">
                <a:hueOff val="-56429"/>
                <a:satOff val="-3381"/>
                <a:lumOff val="-14918"/>
              </a:schemeClr>
            </a:solidFill>
            <a:uFillTx/>
            <a:latin typeface="+mn-lt"/>
            <a:ea typeface="+mn-ea"/>
            <a:cs typeface="+mn-cs"/>
            <a:sym typeface="Baskerville"/>
          </a:endParaRPr>
        </a:p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32" strike="noStrike" sz="3200" u="none">
              <a:ln>
                <a:noFill/>
              </a:ln>
              <a:solidFill>
                <a:schemeClr val="accent4">
                  <a:hueOff val="-56429"/>
                  <a:satOff val="-3381"/>
                  <a:lumOff val="-14918"/>
                </a:schemeClr>
              </a:solidFill>
              <a:uFillTx/>
              <a:latin typeface="+mn-lt"/>
              <a:ea typeface="+mn-ea"/>
              <a:cs typeface="+mn-cs"/>
              <a:sym typeface="Baskerville"/>
            </a:defRPr>
          </a:pPr>
          <a:endParaRPr b="0" baseline="0" cap="none" i="0" spc="32" strike="noStrike" sz="3200" u="none">
            <a:ln>
              <a:noFill/>
            </a:ln>
            <a:solidFill>
              <a:schemeClr val="accent4">
                <a:hueOff val="-56429"/>
                <a:satOff val="-3381"/>
                <a:lumOff val="-14918"/>
              </a:schemeClr>
            </a:solidFill>
            <a:uFillTx/>
            <a:latin typeface="+mn-lt"/>
            <a:ea typeface="+mn-ea"/>
            <a:cs typeface="+mn-cs"/>
            <a:sym typeface="Baskerville"/>
          </a:endParaRPr>
        </a:p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32" strike="noStrike" sz="3200" u="none">
              <a:ln>
                <a:noFill/>
              </a:ln>
              <a:solidFill>
                <a:schemeClr val="accent4">
                  <a:hueOff val="-56429"/>
                  <a:satOff val="-3381"/>
                  <a:lumOff val="-14918"/>
                </a:schemeClr>
              </a:solidFill>
              <a:uFillTx/>
              <a:latin typeface="+mn-lt"/>
              <a:ea typeface="+mn-ea"/>
              <a:cs typeface="+mn-cs"/>
              <a:sym typeface="Baskerville"/>
            </a:defRPr>
          </a:pPr>
          <a:endParaRPr b="0" baseline="0" cap="none" i="0" spc="32" strike="noStrike" sz="3200" u="none">
            <a:ln>
              <a:noFill/>
            </a:ln>
            <a:solidFill>
              <a:schemeClr val="accent4">
                <a:hueOff val="-56429"/>
                <a:satOff val="-3381"/>
                <a:lumOff val="-14918"/>
              </a:schemeClr>
            </a:solidFill>
            <a:uFillTx/>
            <a:latin typeface="+mn-lt"/>
            <a:ea typeface="+mn-ea"/>
            <a:cs typeface="+mn-cs"/>
            <a:sym typeface="Baskerville"/>
          </a:endParaRPr>
        </a:p>
      </xdr:txBody>
    </xdr:sp>
    <xdr:clientData/>
  </xdr:twoCellAnchor>
  <xdr:twoCellAnchor>
    <xdr:from>
      <xdr:col>0</xdr:col>
      <xdr:colOff>0</xdr:colOff>
      <xdr:row>0</xdr:row>
      <xdr:rowOff>596900</xdr:rowOff>
    </xdr:from>
    <xdr:to>
      <xdr:col>2</xdr:col>
      <xdr:colOff>990600</xdr:colOff>
      <xdr:row>0</xdr:row>
      <xdr:rowOff>596900</xdr:rowOff>
    </xdr:to>
    <xdr:sp>
      <xdr:nvSpPr>
        <xdr:cNvPr id="33" name="Shape 33"/>
        <xdr:cNvSpPr/>
      </xdr:nvSpPr>
      <xdr:spPr>
        <a:xfrm>
          <a:off x="0" y="596900"/>
          <a:ext cx="6858000" cy="1"/>
        </a:xfrm>
        <a:prstGeom prst="line">
          <a:avLst/>
        </a:prstGeom>
        <a:noFill/>
        <a:ln w="12700" cap="flat">
          <a:solidFill>
            <a:srgbClr val="AAAAAA"/>
          </a:solidFill>
          <a:custDash>
            <a:ds d="200000" sp="200000"/>
          </a:custDash>
          <a:miter lim="400000"/>
        </a:ln>
        <a:effectLst/>
      </xdr:spPr>
      <xdr:txBody>
        <a:bodyPr/>
        <a:lstStyle/>
        <a:p>
          <a:pPr/>
        </a:p>
      </xdr:txBody>
    </xdr:sp>
    <xdr:clientData/>
  </xdr:twoCellAnchor>
</xdr:wsDr>
</file>

<file path=xl/drawings/drawing12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0</xdr:colOff>
      <xdr:row>0</xdr:row>
      <xdr:rowOff>0</xdr:rowOff>
    </xdr:from>
    <xdr:to>
      <xdr:col>1</xdr:col>
      <xdr:colOff>38298</xdr:colOff>
      <xdr:row>15</xdr:row>
      <xdr:rowOff>167005</xdr:rowOff>
    </xdr:to>
    <xdr:sp>
      <xdr:nvSpPr>
        <xdr:cNvPr id="35" name="Shape 35"/>
        <xdr:cNvSpPr txBox="1"/>
      </xdr:nvSpPr>
      <xdr:spPr>
        <a:xfrm>
          <a:off x="-19050" y="-317183"/>
          <a:ext cx="5092899" cy="4863466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none" lIns="0" tIns="0" rIns="0" bIns="0" numCol="1" anchor="t">
          <a:spAutoFit/>
        </a:bodyPr>
        <a:lstStyle/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32" strike="noStrike" sz="3200" u="none">
              <a:ln>
                <a:noFill/>
              </a:ln>
              <a:solidFill>
                <a:schemeClr val="accent4">
                  <a:hueOff val="-56429"/>
                  <a:satOff val="-3381"/>
                  <a:lumOff val="-14918"/>
                </a:schemeClr>
              </a:solidFill>
              <a:uFillTx/>
              <a:latin typeface="+mn-lt"/>
              <a:ea typeface="+mn-ea"/>
              <a:cs typeface="+mn-cs"/>
              <a:sym typeface="Baskerville"/>
            </a:defRPr>
          </a:pPr>
          <a:r>
            <a:rPr b="0" baseline="0" cap="none" i="0" spc="32" strike="noStrike" sz="3200" u="none">
              <a:ln>
                <a:noFill/>
              </a:ln>
              <a:solidFill>
                <a:schemeClr val="accent4">
                  <a:hueOff val="-56429"/>
                  <a:satOff val="-3381"/>
                  <a:lumOff val="-14918"/>
                </a:schemeClr>
              </a:solidFill>
              <a:uFillTx/>
              <a:latin typeface="+mn-lt"/>
              <a:ea typeface="+mn-ea"/>
              <a:cs typeface="+mn-cs"/>
              <a:sym typeface="Baskerville"/>
            </a:rPr>
            <a:t>Kabkoubé Onion &amp; Almonds</a:t>
          </a:r>
          <a:endParaRPr b="0" baseline="0" cap="none" i="0" spc="32" strike="noStrike" sz="3200" u="none">
            <a:ln>
              <a:noFill/>
            </a:ln>
            <a:solidFill>
              <a:schemeClr val="accent4">
                <a:hueOff val="-56429"/>
                <a:satOff val="-3381"/>
                <a:lumOff val="-14918"/>
              </a:schemeClr>
            </a:solidFill>
            <a:uFillTx/>
            <a:latin typeface="+mn-lt"/>
            <a:ea typeface="+mn-ea"/>
            <a:cs typeface="+mn-cs"/>
            <a:sym typeface="Baskerville"/>
          </a:endParaRPr>
        </a:p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32" strike="noStrike" sz="3200" u="none">
              <a:ln>
                <a:noFill/>
              </a:ln>
              <a:solidFill>
                <a:schemeClr val="accent4">
                  <a:hueOff val="-56429"/>
                  <a:satOff val="-3381"/>
                  <a:lumOff val="-14918"/>
                </a:schemeClr>
              </a:solidFill>
              <a:uFillTx/>
              <a:latin typeface="+mn-lt"/>
              <a:ea typeface="+mn-ea"/>
              <a:cs typeface="+mn-cs"/>
              <a:sym typeface="Baskerville"/>
            </a:defRPr>
          </a:pPr>
          <a:endParaRPr b="0" baseline="0" cap="none" i="0" spc="32" strike="noStrike" sz="3200" u="none">
            <a:ln>
              <a:noFill/>
            </a:ln>
            <a:solidFill>
              <a:schemeClr val="accent4">
                <a:hueOff val="-56429"/>
                <a:satOff val="-3381"/>
                <a:lumOff val="-14918"/>
              </a:schemeClr>
            </a:solidFill>
            <a:uFillTx/>
            <a:latin typeface="+mn-lt"/>
            <a:ea typeface="+mn-ea"/>
            <a:cs typeface="+mn-cs"/>
            <a:sym typeface="Baskerville"/>
          </a:endParaRPr>
        </a:p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32" strike="noStrike" sz="3200" u="none">
              <a:ln>
                <a:noFill/>
              </a:ln>
              <a:solidFill>
                <a:schemeClr val="accent4">
                  <a:hueOff val="-56429"/>
                  <a:satOff val="-3381"/>
                  <a:lumOff val="-14918"/>
                </a:schemeClr>
              </a:solidFill>
              <a:uFillTx/>
              <a:latin typeface="+mn-lt"/>
              <a:ea typeface="+mn-ea"/>
              <a:cs typeface="+mn-cs"/>
              <a:sym typeface="Baskerville"/>
            </a:defRPr>
          </a:pPr>
          <a:endParaRPr b="0" baseline="0" cap="none" i="0" spc="32" strike="noStrike" sz="3200" u="none">
            <a:ln>
              <a:noFill/>
            </a:ln>
            <a:solidFill>
              <a:schemeClr val="accent4">
                <a:hueOff val="-56429"/>
                <a:satOff val="-3381"/>
                <a:lumOff val="-14918"/>
              </a:schemeClr>
            </a:solidFill>
            <a:uFillTx/>
            <a:latin typeface="+mn-lt"/>
            <a:ea typeface="+mn-ea"/>
            <a:cs typeface="+mn-cs"/>
            <a:sym typeface="Baskerville"/>
          </a:endParaRPr>
        </a:p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32" strike="noStrike" sz="3200" u="none">
              <a:ln>
                <a:noFill/>
              </a:ln>
              <a:solidFill>
                <a:schemeClr val="accent4">
                  <a:hueOff val="-56429"/>
                  <a:satOff val="-3381"/>
                  <a:lumOff val="-14918"/>
                </a:schemeClr>
              </a:solidFill>
              <a:uFillTx/>
              <a:latin typeface="+mn-lt"/>
              <a:ea typeface="+mn-ea"/>
              <a:cs typeface="+mn-cs"/>
              <a:sym typeface="Baskerville"/>
            </a:defRPr>
          </a:pPr>
          <a:endParaRPr b="0" baseline="0" cap="none" i="0" spc="32" strike="noStrike" sz="3200" u="none">
            <a:ln>
              <a:noFill/>
            </a:ln>
            <a:solidFill>
              <a:schemeClr val="accent4">
                <a:hueOff val="-56429"/>
                <a:satOff val="-3381"/>
                <a:lumOff val="-14918"/>
              </a:schemeClr>
            </a:solidFill>
            <a:uFillTx/>
            <a:latin typeface="+mn-lt"/>
            <a:ea typeface="+mn-ea"/>
            <a:cs typeface="+mn-cs"/>
            <a:sym typeface="Baskerville"/>
          </a:endParaRPr>
        </a:p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32" strike="noStrike" sz="3200" u="none">
              <a:ln>
                <a:noFill/>
              </a:ln>
              <a:solidFill>
                <a:schemeClr val="accent4">
                  <a:hueOff val="-56429"/>
                  <a:satOff val="-3381"/>
                  <a:lumOff val="-14918"/>
                </a:schemeClr>
              </a:solidFill>
              <a:uFillTx/>
              <a:latin typeface="+mn-lt"/>
              <a:ea typeface="+mn-ea"/>
              <a:cs typeface="+mn-cs"/>
              <a:sym typeface="Baskerville"/>
            </a:defRPr>
          </a:pPr>
          <a:endParaRPr b="0" baseline="0" cap="none" i="0" spc="32" strike="noStrike" sz="3200" u="none">
            <a:ln>
              <a:noFill/>
            </a:ln>
            <a:solidFill>
              <a:schemeClr val="accent4">
                <a:hueOff val="-56429"/>
                <a:satOff val="-3381"/>
                <a:lumOff val="-14918"/>
              </a:schemeClr>
            </a:solidFill>
            <a:uFillTx/>
            <a:latin typeface="+mn-lt"/>
            <a:ea typeface="+mn-ea"/>
            <a:cs typeface="+mn-cs"/>
            <a:sym typeface="Baskerville"/>
          </a:endParaRPr>
        </a:p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32" strike="noStrike" sz="3200" u="none">
              <a:ln>
                <a:noFill/>
              </a:ln>
              <a:solidFill>
                <a:schemeClr val="accent4">
                  <a:hueOff val="-56429"/>
                  <a:satOff val="-3381"/>
                  <a:lumOff val="-14918"/>
                </a:schemeClr>
              </a:solidFill>
              <a:uFillTx/>
              <a:latin typeface="+mn-lt"/>
              <a:ea typeface="+mn-ea"/>
              <a:cs typeface="+mn-cs"/>
              <a:sym typeface="Baskerville"/>
            </a:defRPr>
          </a:pPr>
          <a:endParaRPr b="0" baseline="0" cap="none" i="0" spc="32" strike="noStrike" sz="3200" u="none">
            <a:ln>
              <a:noFill/>
            </a:ln>
            <a:solidFill>
              <a:schemeClr val="accent4">
                <a:hueOff val="-56429"/>
                <a:satOff val="-3381"/>
                <a:lumOff val="-14918"/>
              </a:schemeClr>
            </a:solidFill>
            <a:uFillTx/>
            <a:latin typeface="+mn-lt"/>
            <a:ea typeface="+mn-ea"/>
            <a:cs typeface="+mn-cs"/>
            <a:sym typeface="Baskerville"/>
          </a:endParaRPr>
        </a:p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32" strike="noStrike" sz="3200" u="none">
              <a:ln>
                <a:noFill/>
              </a:ln>
              <a:solidFill>
                <a:schemeClr val="accent4">
                  <a:hueOff val="-56429"/>
                  <a:satOff val="-3381"/>
                  <a:lumOff val="-14918"/>
                </a:schemeClr>
              </a:solidFill>
              <a:uFillTx/>
              <a:latin typeface="+mn-lt"/>
              <a:ea typeface="+mn-ea"/>
              <a:cs typeface="+mn-cs"/>
              <a:sym typeface="Baskerville"/>
            </a:defRPr>
          </a:pPr>
          <a:endParaRPr b="0" baseline="0" cap="none" i="0" spc="32" strike="noStrike" sz="3200" u="none">
            <a:ln>
              <a:noFill/>
            </a:ln>
            <a:solidFill>
              <a:schemeClr val="accent4">
                <a:hueOff val="-56429"/>
                <a:satOff val="-3381"/>
                <a:lumOff val="-14918"/>
              </a:schemeClr>
            </a:solidFill>
            <a:uFillTx/>
            <a:latin typeface="+mn-lt"/>
            <a:ea typeface="+mn-ea"/>
            <a:cs typeface="+mn-cs"/>
            <a:sym typeface="Baskerville"/>
          </a:endParaRPr>
        </a:p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32" strike="noStrike" sz="3200" u="none">
              <a:ln>
                <a:noFill/>
              </a:ln>
              <a:solidFill>
                <a:schemeClr val="accent4">
                  <a:hueOff val="-56429"/>
                  <a:satOff val="-3381"/>
                  <a:lumOff val="-14918"/>
                </a:schemeClr>
              </a:solidFill>
              <a:uFillTx/>
              <a:latin typeface="+mn-lt"/>
              <a:ea typeface="+mn-ea"/>
              <a:cs typeface="+mn-cs"/>
              <a:sym typeface="Baskerville"/>
            </a:defRPr>
          </a:pPr>
          <a:endParaRPr b="0" baseline="0" cap="none" i="0" spc="32" strike="noStrike" sz="3200" u="none">
            <a:ln>
              <a:noFill/>
            </a:ln>
            <a:solidFill>
              <a:schemeClr val="accent4">
                <a:hueOff val="-56429"/>
                <a:satOff val="-3381"/>
                <a:lumOff val="-14918"/>
              </a:schemeClr>
            </a:solidFill>
            <a:uFillTx/>
            <a:latin typeface="+mn-lt"/>
            <a:ea typeface="+mn-ea"/>
            <a:cs typeface="+mn-cs"/>
            <a:sym typeface="Baskerville"/>
          </a:endParaRPr>
        </a:p>
      </xdr:txBody>
    </xdr:sp>
    <xdr:clientData/>
  </xdr:twoCellAnchor>
  <xdr:twoCellAnchor>
    <xdr:from>
      <xdr:col>0</xdr:col>
      <xdr:colOff>0</xdr:colOff>
      <xdr:row>0</xdr:row>
      <xdr:rowOff>596900</xdr:rowOff>
    </xdr:from>
    <xdr:to>
      <xdr:col>2</xdr:col>
      <xdr:colOff>469900</xdr:colOff>
      <xdr:row>0</xdr:row>
      <xdr:rowOff>596900</xdr:rowOff>
    </xdr:to>
    <xdr:sp>
      <xdr:nvSpPr>
        <xdr:cNvPr id="36" name="Shape 36"/>
        <xdr:cNvSpPr/>
      </xdr:nvSpPr>
      <xdr:spPr>
        <a:xfrm>
          <a:off x="0" y="596900"/>
          <a:ext cx="6858000" cy="1"/>
        </a:xfrm>
        <a:prstGeom prst="line">
          <a:avLst/>
        </a:prstGeom>
        <a:noFill/>
        <a:ln w="12700" cap="flat">
          <a:solidFill>
            <a:srgbClr val="AAAAAA"/>
          </a:solidFill>
          <a:custDash>
            <a:ds d="200000" sp="200000"/>
          </a:custDash>
          <a:miter lim="400000"/>
        </a:ln>
        <a:effectLst/>
      </xdr:spPr>
      <xdr:txBody>
        <a:bodyPr/>
        <a:lstStyle/>
        <a:p>
          <a:pPr/>
        </a:p>
      </xdr:txBody>
    </xdr:sp>
    <xdr:clientData/>
  </xdr:twoCellAnchor>
</xdr:wsDr>
</file>

<file path=xl/drawings/drawing13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0</xdr:colOff>
      <xdr:row>0</xdr:row>
      <xdr:rowOff>0</xdr:rowOff>
    </xdr:from>
    <xdr:to>
      <xdr:col>0</xdr:col>
      <xdr:colOff>3514653</xdr:colOff>
      <xdr:row>17</xdr:row>
      <xdr:rowOff>134620</xdr:rowOff>
    </xdr:to>
    <xdr:sp>
      <xdr:nvSpPr>
        <xdr:cNvPr id="38" name="Shape 38"/>
        <xdr:cNvSpPr txBox="1"/>
      </xdr:nvSpPr>
      <xdr:spPr>
        <a:xfrm>
          <a:off x="-19050" y="-352425"/>
          <a:ext cx="3514654" cy="5403850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none" lIns="0" tIns="0" rIns="0" bIns="0" numCol="1" anchor="t">
          <a:spAutoFit/>
        </a:bodyPr>
        <a:lstStyle/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32" strike="noStrike" sz="3200" u="none">
              <a:ln>
                <a:noFill/>
              </a:ln>
              <a:solidFill>
                <a:schemeClr val="accent4">
                  <a:hueOff val="-56429"/>
                  <a:satOff val="-3381"/>
                  <a:lumOff val="-14918"/>
                </a:schemeClr>
              </a:solidFill>
              <a:uFillTx/>
              <a:latin typeface="+mn-lt"/>
              <a:ea typeface="+mn-ea"/>
              <a:cs typeface="+mn-cs"/>
              <a:sym typeface="Baskerville"/>
            </a:defRPr>
          </a:pPr>
          <a:r>
            <a:rPr b="0" baseline="0" cap="none" i="0" spc="32" strike="noStrike" sz="3200" u="none">
              <a:ln>
                <a:noFill/>
              </a:ln>
              <a:solidFill>
                <a:schemeClr val="accent4">
                  <a:hueOff val="-56429"/>
                  <a:satOff val="-3381"/>
                  <a:lumOff val="-14918"/>
                </a:schemeClr>
              </a:solidFill>
              <a:uFillTx/>
              <a:latin typeface="+mn-lt"/>
              <a:ea typeface="+mn-ea"/>
              <a:cs typeface="+mn-cs"/>
              <a:sym typeface="Baskerville"/>
            </a:rPr>
            <a:t>Kabkoubé Eggplant</a:t>
          </a:r>
          <a:endParaRPr b="0" baseline="0" cap="none" i="0" spc="32" strike="noStrike" sz="3200" u="none">
            <a:ln>
              <a:noFill/>
            </a:ln>
            <a:solidFill>
              <a:schemeClr val="accent4">
                <a:hueOff val="-56429"/>
                <a:satOff val="-3381"/>
                <a:lumOff val="-14918"/>
              </a:schemeClr>
            </a:solidFill>
            <a:uFillTx/>
            <a:latin typeface="+mn-lt"/>
            <a:ea typeface="+mn-ea"/>
            <a:cs typeface="+mn-cs"/>
            <a:sym typeface="Baskerville"/>
          </a:endParaRPr>
        </a:p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32" strike="noStrike" sz="3200" u="none">
              <a:ln>
                <a:noFill/>
              </a:ln>
              <a:solidFill>
                <a:schemeClr val="accent4">
                  <a:hueOff val="-56429"/>
                  <a:satOff val="-3381"/>
                  <a:lumOff val="-14918"/>
                </a:schemeClr>
              </a:solidFill>
              <a:uFillTx/>
              <a:latin typeface="+mn-lt"/>
              <a:ea typeface="+mn-ea"/>
              <a:cs typeface="+mn-cs"/>
              <a:sym typeface="Baskerville"/>
            </a:defRPr>
          </a:pPr>
          <a:endParaRPr b="0" baseline="0" cap="none" i="0" spc="32" strike="noStrike" sz="3200" u="none">
            <a:ln>
              <a:noFill/>
            </a:ln>
            <a:solidFill>
              <a:schemeClr val="accent4">
                <a:hueOff val="-56429"/>
                <a:satOff val="-3381"/>
                <a:lumOff val="-14918"/>
              </a:schemeClr>
            </a:solidFill>
            <a:uFillTx/>
            <a:latin typeface="+mn-lt"/>
            <a:ea typeface="+mn-ea"/>
            <a:cs typeface="+mn-cs"/>
            <a:sym typeface="Baskerville"/>
          </a:endParaRPr>
        </a:p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32" strike="noStrike" sz="3200" u="none">
              <a:ln>
                <a:noFill/>
              </a:ln>
              <a:solidFill>
                <a:schemeClr val="accent4">
                  <a:hueOff val="-56429"/>
                  <a:satOff val="-3381"/>
                  <a:lumOff val="-14918"/>
                </a:schemeClr>
              </a:solidFill>
              <a:uFillTx/>
              <a:latin typeface="+mn-lt"/>
              <a:ea typeface="+mn-ea"/>
              <a:cs typeface="+mn-cs"/>
              <a:sym typeface="Baskerville"/>
            </a:defRPr>
          </a:pPr>
          <a:endParaRPr b="0" baseline="0" cap="none" i="0" spc="32" strike="noStrike" sz="3200" u="none">
            <a:ln>
              <a:noFill/>
            </a:ln>
            <a:solidFill>
              <a:schemeClr val="accent4">
                <a:hueOff val="-56429"/>
                <a:satOff val="-3381"/>
                <a:lumOff val="-14918"/>
              </a:schemeClr>
            </a:solidFill>
            <a:uFillTx/>
            <a:latin typeface="+mn-lt"/>
            <a:ea typeface="+mn-ea"/>
            <a:cs typeface="+mn-cs"/>
            <a:sym typeface="Baskerville"/>
          </a:endParaRPr>
        </a:p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32" strike="noStrike" sz="3200" u="none">
              <a:ln>
                <a:noFill/>
              </a:ln>
              <a:solidFill>
                <a:schemeClr val="accent4">
                  <a:hueOff val="-56429"/>
                  <a:satOff val="-3381"/>
                  <a:lumOff val="-14918"/>
                </a:schemeClr>
              </a:solidFill>
              <a:uFillTx/>
              <a:latin typeface="+mn-lt"/>
              <a:ea typeface="+mn-ea"/>
              <a:cs typeface="+mn-cs"/>
              <a:sym typeface="Baskerville"/>
            </a:defRPr>
          </a:pPr>
          <a:endParaRPr b="0" baseline="0" cap="none" i="0" spc="32" strike="noStrike" sz="3200" u="none">
            <a:ln>
              <a:noFill/>
            </a:ln>
            <a:solidFill>
              <a:schemeClr val="accent4">
                <a:hueOff val="-56429"/>
                <a:satOff val="-3381"/>
                <a:lumOff val="-14918"/>
              </a:schemeClr>
            </a:solidFill>
            <a:uFillTx/>
            <a:latin typeface="+mn-lt"/>
            <a:ea typeface="+mn-ea"/>
            <a:cs typeface="+mn-cs"/>
            <a:sym typeface="Baskerville"/>
          </a:endParaRPr>
        </a:p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32" strike="noStrike" sz="3200" u="none">
              <a:ln>
                <a:noFill/>
              </a:ln>
              <a:solidFill>
                <a:schemeClr val="accent4">
                  <a:hueOff val="-56429"/>
                  <a:satOff val="-3381"/>
                  <a:lumOff val="-14918"/>
                </a:schemeClr>
              </a:solidFill>
              <a:uFillTx/>
              <a:latin typeface="+mn-lt"/>
              <a:ea typeface="+mn-ea"/>
              <a:cs typeface="+mn-cs"/>
              <a:sym typeface="Baskerville"/>
            </a:defRPr>
          </a:pPr>
          <a:endParaRPr b="0" baseline="0" cap="none" i="0" spc="32" strike="noStrike" sz="3200" u="none">
            <a:ln>
              <a:noFill/>
            </a:ln>
            <a:solidFill>
              <a:schemeClr val="accent4">
                <a:hueOff val="-56429"/>
                <a:satOff val="-3381"/>
                <a:lumOff val="-14918"/>
              </a:schemeClr>
            </a:solidFill>
            <a:uFillTx/>
            <a:latin typeface="+mn-lt"/>
            <a:ea typeface="+mn-ea"/>
            <a:cs typeface="+mn-cs"/>
            <a:sym typeface="Baskerville"/>
          </a:endParaRPr>
        </a:p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32" strike="noStrike" sz="3200" u="none">
              <a:ln>
                <a:noFill/>
              </a:ln>
              <a:solidFill>
                <a:schemeClr val="accent4">
                  <a:hueOff val="-56429"/>
                  <a:satOff val="-3381"/>
                  <a:lumOff val="-14918"/>
                </a:schemeClr>
              </a:solidFill>
              <a:uFillTx/>
              <a:latin typeface="+mn-lt"/>
              <a:ea typeface="+mn-ea"/>
              <a:cs typeface="+mn-cs"/>
              <a:sym typeface="Baskerville"/>
            </a:defRPr>
          </a:pPr>
          <a:endParaRPr b="0" baseline="0" cap="none" i="0" spc="32" strike="noStrike" sz="3200" u="none">
            <a:ln>
              <a:noFill/>
            </a:ln>
            <a:solidFill>
              <a:schemeClr val="accent4">
                <a:hueOff val="-56429"/>
                <a:satOff val="-3381"/>
                <a:lumOff val="-14918"/>
              </a:schemeClr>
            </a:solidFill>
            <a:uFillTx/>
            <a:latin typeface="+mn-lt"/>
            <a:ea typeface="+mn-ea"/>
            <a:cs typeface="+mn-cs"/>
            <a:sym typeface="Baskerville"/>
          </a:endParaRPr>
        </a:p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32" strike="noStrike" sz="3200" u="none">
              <a:ln>
                <a:noFill/>
              </a:ln>
              <a:solidFill>
                <a:schemeClr val="accent4">
                  <a:hueOff val="-56429"/>
                  <a:satOff val="-3381"/>
                  <a:lumOff val="-14918"/>
                </a:schemeClr>
              </a:solidFill>
              <a:uFillTx/>
              <a:latin typeface="+mn-lt"/>
              <a:ea typeface="+mn-ea"/>
              <a:cs typeface="+mn-cs"/>
              <a:sym typeface="Baskerville"/>
            </a:defRPr>
          </a:pPr>
          <a:endParaRPr b="0" baseline="0" cap="none" i="0" spc="32" strike="noStrike" sz="3200" u="none">
            <a:ln>
              <a:noFill/>
            </a:ln>
            <a:solidFill>
              <a:schemeClr val="accent4">
                <a:hueOff val="-56429"/>
                <a:satOff val="-3381"/>
                <a:lumOff val="-14918"/>
              </a:schemeClr>
            </a:solidFill>
            <a:uFillTx/>
            <a:latin typeface="+mn-lt"/>
            <a:ea typeface="+mn-ea"/>
            <a:cs typeface="+mn-cs"/>
            <a:sym typeface="Baskerville"/>
          </a:endParaRPr>
        </a:p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32" strike="noStrike" sz="3200" u="none">
              <a:ln>
                <a:noFill/>
              </a:ln>
              <a:solidFill>
                <a:schemeClr val="accent4">
                  <a:hueOff val="-56429"/>
                  <a:satOff val="-3381"/>
                  <a:lumOff val="-14918"/>
                </a:schemeClr>
              </a:solidFill>
              <a:uFillTx/>
              <a:latin typeface="+mn-lt"/>
              <a:ea typeface="+mn-ea"/>
              <a:cs typeface="+mn-cs"/>
              <a:sym typeface="Baskerville"/>
            </a:defRPr>
          </a:pPr>
          <a:endParaRPr b="0" baseline="0" cap="none" i="0" spc="32" strike="noStrike" sz="3200" u="none">
            <a:ln>
              <a:noFill/>
            </a:ln>
            <a:solidFill>
              <a:schemeClr val="accent4">
                <a:hueOff val="-56429"/>
                <a:satOff val="-3381"/>
                <a:lumOff val="-14918"/>
              </a:schemeClr>
            </a:solidFill>
            <a:uFillTx/>
            <a:latin typeface="+mn-lt"/>
            <a:ea typeface="+mn-ea"/>
            <a:cs typeface="+mn-cs"/>
            <a:sym typeface="Baskerville"/>
          </a:endParaRPr>
        </a:p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32" strike="noStrike" sz="3200" u="none">
              <a:ln>
                <a:noFill/>
              </a:ln>
              <a:solidFill>
                <a:schemeClr val="accent4">
                  <a:hueOff val="-56429"/>
                  <a:satOff val="-3381"/>
                  <a:lumOff val="-14918"/>
                </a:schemeClr>
              </a:solidFill>
              <a:uFillTx/>
              <a:latin typeface="+mn-lt"/>
              <a:ea typeface="+mn-ea"/>
              <a:cs typeface="+mn-cs"/>
              <a:sym typeface="Baskerville"/>
            </a:defRPr>
          </a:pPr>
          <a:endParaRPr b="0" baseline="0" cap="none" i="0" spc="32" strike="noStrike" sz="3200" u="none">
            <a:ln>
              <a:noFill/>
            </a:ln>
            <a:solidFill>
              <a:schemeClr val="accent4">
                <a:hueOff val="-56429"/>
                <a:satOff val="-3381"/>
                <a:lumOff val="-14918"/>
              </a:schemeClr>
            </a:solidFill>
            <a:uFillTx/>
            <a:latin typeface="+mn-lt"/>
            <a:ea typeface="+mn-ea"/>
            <a:cs typeface="+mn-cs"/>
            <a:sym typeface="Baskerville"/>
          </a:endParaRPr>
        </a:p>
      </xdr:txBody>
    </xdr:sp>
    <xdr:clientData/>
  </xdr:twoCellAnchor>
  <xdr:twoCellAnchor>
    <xdr:from>
      <xdr:col>0</xdr:col>
      <xdr:colOff>0</xdr:colOff>
      <xdr:row>0</xdr:row>
      <xdr:rowOff>596900</xdr:rowOff>
    </xdr:from>
    <xdr:to>
      <xdr:col>2</xdr:col>
      <xdr:colOff>876300</xdr:colOff>
      <xdr:row>0</xdr:row>
      <xdr:rowOff>596900</xdr:rowOff>
    </xdr:to>
    <xdr:sp>
      <xdr:nvSpPr>
        <xdr:cNvPr id="39" name="Shape 39"/>
        <xdr:cNvSpPr/>
      </xdr:nvSpPr>
      <xdr:spPr>
        <a:xfrm>
          <a:off x="0" y="596900"/>
          <a:ext cx="6858000" cy="1"/>
        </a:xfrm>
        <a:prstGeom prst="line">
          <a:avLst/>
        </a:prstGeom>
        <a:noFill/>
        <a:ln w="12700" cap="flat">
          <a:solidFill>
            <a:srgbClr val="AAAAAA"/>
          </a:solidFill>
          <a:custDash>
            <a:ds d="200000" sp="200000"/>
          </a:custDash>
          <a:miter lim="400000"/>
        </a:ln>
        <a:effectLst/>
      </xdr:spPr>
      <xdr:txBody>
        <a:bodyPr/>
        <a:lstStyle/>
        <a:p>
          <a:pPr/>
        </a:p>
      </xdr:txBody>
    </xdr:sp>
    <xdr:clientData/>
  </xdr:twoCellAnchor>
</xdr:wsDr>
</file>

<file path=xl/drawings/drawing14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0</xdr:colOff>
      <xdr:row>0</xdr:row>
      <xdr:rowOff>0</xdr:rowOff>
    </xdr:from>
    <xdr:to>
      <xdr:col>0</xdr:col>
      <xdr:colOff>2885027</xdr:colOff>
      <xdr:row>18</xdr:row>
      <xdr:rowOff>200025</xdr:rowOff>
    </xdr:to>
    <xdr:sp>
      <xdr:nvSpPr>
        <xdr:cNvPr id="41" name="Shape 41"/>
        <xdr:cNvSpPr txBox="1"/>
      </xdr:nvSpPr>
      <xdr:spPr>
        <a:xfrm>
          <a:off x="-19050" y="-387668"/>
          <a:ext cx="2885028" cy="5944236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none" lIns="0" tIns="0" rIns="0" bIns="0" numCol="1" anchor="t">
          <a:spAutoFit/>
        </a:bodyPr>
        <a:lstStyle/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32" strike="noStrike" sz="3200" u="none">
              <a:ln>
                <a:noFill/>
              </a:ln>
              <a:solidFill>
                <a:schemeClr val="accent4">
                  <a:hueOff val="-56429"/>
                  <a:satOff val="-3381"/>
                  <a:lumOff val="-14918"/>
                </a:schemeClr>
              </a:solidFill>
              <a:uFillTx/>
              <a:latin typeface="+mn-lt"/>
              <a:ea typeface="+mn-ea"/>
              <a:cs typeface="+mn-cs"/>
              <a:sym typeface="Baskerville"/>
            </a:defRPr>
          </a:pPr>
          <a:r>
            <a:rPr b="0" baseline="0" cap="none" i="0" spc="32" strike="noStrike" sz="3200" u="none">
              <a:ln>
                <a:noFill/>
              </a:ln>
              <a:solidFill>
                <a:schemeClr val="accent4">
                  <a:hueOff val="-56429"/>
                  <a:satOff val="-3381"/>
                  <a:lumOff val="-14918"/>
                </a:schemeClr>
              </a:solidFill>
              <a:uFillTx/>
              <a:latin typeface="+mn-lt"/>
              <a:ea typeface="+mn-ea"/>
              <a:cs typeface="+mn-cs"/>
              <a:sym typeface="Baskerville"/>
            </a:rPr>
            <a:t>Meat Kabkoubé</a:t>
          </a:r>
          <a:endParaRPr b="0" baseline="0" cap="none" i="0" spc="32" strike="noStrike" sz="3200" u="none">
            <a:ln>
              <a:noFill/>
            </a:ln>
            <a:solidFill>
              <a:schemeClr val="accent4">
                <a:hueOff val="-56429"/>
                <a:satOff val="-3381"/>
                <a:lumOff val="-14918"/>
              </a:schemeClr>
            </a:solidFill>
            <a:uFillTx/>
            <a:latin typeface="+mn-lt"/>
            <a:ea typeface="+mn-ea"/>
            <a:cs typeface="+mn-cs"/>
            <a:sym typeface="Baskerville"/>
          </a:endParaRPr>
        </a:p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32" strike="noStrike" sz="3200" u="none">
              <a:ln>
                <a:noFill/>
              </a:ln>
              <a:solidFill>
                <a:schemeClr val="accent4">
                  <a:hueOff val="-56429"/>
                  <a:satOff val="-3381"/>
                  <a:lumOff val="-14918"/>
                </a:schemeClr>
              </a:solidFill>
              <a:uFillTx/>
              <a:latin typeface="+mn-lt"/>
              <a:ea typeface="+mn-ea"/>
              <a:cs typeface="+mn-cs"/>
              <a:sym typeface="Baskerville"/>
            </a:defRPr>
          </a:pPr>
          <a:endParaRPr b="0" baseline="0" cap="none" i="0" spc="32" strike="noStrike" sz="3200" u="none">
            <a:ln>
              <a:noFill/>
            </a:ln>
            <a:solidFill>
              <a:schemeClr val="accent4">
                <a:hueOff val="-56429"/>
                <a:satOff val="-3381"/>
                <a:lumOff val="-14918"/>
              </a:schemeClr>
            </a:solidFill>
            <a:uFillTx/>
            <a:latin typeface="+mn-lt"/>
            <a:ea typeface="+mn-ea"/>
            <a:cs typeface="+mn-cs"/>
            <a:sym typeface="Baskerville"/>
          </a:endParaRPr>
        </a:p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32" strike="noStrike" sz="3200" u="none">
              <a:ln>
                <a:noFill/>
              </a:ln>
              <a:solidFill>
                <a:schemeClr val="accent4">
                  <a:hueOff val="-56429"/>
                  <a:satOff val="-3381"/>
                  <a:lumOff val="-14918"/>
                </a:schemeClr>
              </a:solidFill>
              <a:uFillTx/>
              <a:latin typeface="+mn-lt"/>
              <a:ea typeface="+mn-ea"/>
              <a:cs typeface="+mn-cs"/>
              <a:sym typeface="Baskerville"/>
            </a:defRPr>
          </a:pPr>
          <a:endParaRPr b="0" baseline="0" cap="none" i="0" spc="32" strike="noStrike" sz="3200" u="none">
            <a:ln>
              <a:noFill/>
            </a:ln>
            <a:solidFill>
              <a:schemeClr val="accent4">
                <a:hueOff val="-56429"/>
                <a:satOff val="-3381"/>
                <a:lumOff val="-14918"/>
              </a:schemeClr>
            </a:solidFill>
            <a:uFillTx/>
            <a:latin typeface="+mn-lt"/>
            <a:ea typeface="+mn-ea"/>
            <a:cs typeface="+mn-cs"/>
            <a:sym typeface="Baskerville"/>
          </a:endParaRPr>
        </a:p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32" strike="noStrike" sz="3200" u="none">
              <a:ln>
                <a:noFill/>
              </a:ln>
              <a:solidFill>
                <a:schemeClr val="accent4">
                  <a:hueOff val="-56429"/>
                  <a:satOff val="-3381"/>
                  <a:lumOff val="-14918"/>
                </a:schemeClr>
              </a:solidFill>
              <a:uFillTx/>
              <a:latin typeface="+mn-lt"/>
              <a:ea typeface="+mn-ea"/>
              <a:cs typeface="+mn-cs"/>
              <a:sym typeface="Baskerville"/>
            </a:defRPr>
          </a:pPr>
          <a:endParaRPr b="0" baseline="0" cap="none" i="0" spc="32" strike="noStrike" sz="3200" u="none">
            <a:ln>
              <a:noFill/>
            </a:ln>
            <a:solidFill>
              <a:schemeClr val="accent4">
                <a:hueOff val="-56429"/>
                <a:satOff val="-3381"/>
                <a:lumOff val="-14918"/>
              </a:schemeClr>
            </a:solidFill>
            <a:uFillTx/>
            <a:latin typeface="+mn-lt"/>
            <a:ea typeface="+mn-ea"/>
            <a:cs typeface="+mn-cs"/>
            <a:sym typeface="Baskerville"/>
          </a:endParaRPr>
        </a:p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32" strike="noStrike" sz="3200" u="none">
              <a:ln>
                <a:noFill/>
              </a:ln>
              <a:solidFill>
                <a:schemeClr val="accent4">
                  <a:hueOff val="-56429"/>
                  <a:satOff val="-3381"/>
                  <a:lumOff val="-14918"/>
                </a:schemeClr>
              </a:solidFill>
              <a:uFillTx/>
              <a:latin typeface="+mn-lt"/>
              <a:ea typeface="+mn-ea"/>
              <a:cs typeface="+mn-cs"/>
              <a:sym typeface="Baskerville"/>
            </a:defRPr>
          </a:pPr>
          <a:endParaRPr b="0" baseline="0" cap="none" i="0" spc="32" strike="noStrike" sz="3200" u="none">
            <a:ln>
              <a:noFill/>
            </a:ln>
            <a:solidFill>
              <a:schemeClr val="accent4">
                <a:hueOff val="-56429"/>
                <a:satOff val="-3381"/>
                <a:lumOff val="-14918"/>
              </a:schemeClr>
            </a:solidFill>
            <a:uFillTx/>
            <a:latin typeface="+mn-lt"/>
            <a:ea typeface="+mn-ea"/>
            <a:cs typeface="+mn-cs"/>
            <a:sym typeface="Baskerville"/>
          </a:endParaRPr>
        </a:p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32" strike="noStrike" sz="3200" u="none">
              <a:ln>
                <a:noFill/>
              </a:ln>
              <a:solidFill>
                <a:schemeClr val="accent4">
                  <a:hueOff val="-56429"/>
                  <a:satOff val="-3381"/>
                  <a:lumOff val="-14918"/>
                </a:schemeClr>
              </a:solidFill>
              <a:uFillTx/>
              <a:latin typeface="+mn-lt"/>
              <a:ea typeface="+mn-ea"/>
              <a:cs typeface="+mn-cs"/>
              <a:sym typeface="Baskerville"/>
            </a:defRPr>
          </a:pPr>
          <a:endParaRPr b="0" baseline="0" cap="none" i="0" spc="32" strike="noStrike" sz="3200" u="none">
            <a:ln>
              <a:noFill/>
            </a:ln>
            <a:solidFill>
              <a:schemeClr val="accent4">
                <a:hueOff val="-56429"/>
                <a:satOff val="-3381"/>
                <a:lumOff val="-14918"/>
              </a:schemeClr>
            </a:solidFill>
            <a:uFillTx/>
            <a:latin typeface="+mn-lt"/>
            <a:ea typeface="+mn-ea"/>
            <a:cs typeface="+mn-cs"/>
            <a:sym typeface="Baskerville"/>
          </a:endParaRPr>
        </a:p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32" strike="noStrike" sz="3200" u="none">
              <a:ln>
                <a:noFill/>
              </a:ln>
              <a:solidFill>
                <a:schemeClr val="accent4">
                  <a:hueOff val="-56429"/>
                  <a:satOff val="-3381"/>
                  <a:lumOff val="-14918"/>
                </a:schemeClr>
              </a:solidFill>
              <a:uFillTx/>
              <a:latin typeface="+mn-lt"/>
              <a:ea typeface="+mn-ea"/>
              <a:cs typeface="+mn-cs"/>
              <a:sym typeface="Baskerville"/>
            </a:defRPr>
          </a:pPr>
          <a:endParaRPr b="0" baseline="0" cap="none" i="0" spc="32" strike="noStrike" sz="3200" u="none">
            <a:ln>
              <a:noFill/>
            </a:ln>
            <a:solidFill>
              <a:schemeClr val="accent4">
                <a:hueOff val="-56429"/>
                <a:satOff val="-3381"/>
                <a:lumOff val="-14918"/>
              </a:schemeClr>
            </a:solidFill>
            <a:uFillTx/>
            <a:latin typeface="+mn-lt"/>
            <a:ea typeface="+mn-ea"/>
            <a:cs typeface="+mn-cs"/>
            <a:sym typeface="Baskerville"/>
          </a:endParaRPr>
        </a:p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32" strike="noStrike" sz="3200" u="none">
              <a:ln>
                <a:noFill/>
              </a:ln>
              <a:solidFill>
                <a:schemeClr val="accent4">
                  <a:hueOff val="-56429"/>
                  <a:satOff val="-3381"/>
                  <a:lumOff val="-14918"/>
                </a:schemeClr>
              </a:solidFill>
              <a:uFillTx/>
              <a:latin typeface="+mn-lt"/>
              <a:ea typeface="+mn-ea"/>
              <a:cs typeface="+mn-cs"/>
              <a:sym typeface="Baskerville"/>
            </a:defRPr>
          </a:pPr>
          <a:endParaRPr b="0" baseline="0" cap="none" i="0" spc="32" strike="noStrike" sz="3200" u="none">
            <a:ln>
              <a:noFill/>
            </a:ln>
            <a:solidFill>
              <a:schemeClr val="accent4">
                <a:hueOff val="-56429"/>
                <a:satOff val="-3381"/>
                <a:lumOff val="-14918"/>
              </a:schemeClr>
            </a:solidFill>
            <a:uFillTx/>
            <a:latin typeface="+mn-lt"/>
            <a:ea typeface="+mn-ea"/>
            <a:cs typeface="+mn-cs"/>
            <a:sym typeface="Baskerville"/>
          </a:endParaRPr>
        </a:p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32" strike="noStrike" sz="3200" u="none">
              <a:ln>
                <a:noFill/>
              </a:ln>
              <a:solidFill>
                <a:schemeClr val="accent4">
                  <a:hueOff val="-56429"/>
                  <a:satOff val="-3381"/>
                  <a:lumOff val="-14918"/>
                </a:schemeClr>
              </a:solidFill>
              <a:uFillTx/>
              <a:latin typeface="+mn-lt"/>
              <a:ea typeface="+mn-ea"/>
              <a:cs typeface="+mn-cs"/>
              <a:sym typeface="Baskerville"/>
            </a:defRPr>
          </a:pPr>
          <a:endParaRPr b="0" baseline="0" cap="none" i="0" spc="32" strike="noStrike" sz="3200" u="none">
            <a:ln>
              <a:noFill/>
            </a:ln>
            <a:solidFill>
              <a:schemeClr val="accent4">
                <a:hueOff val="-56429"/>
                <a:satOff val="-3381"/>
                <a:lumOff val="-14918"/>
              </a:schemeClr>
            </a:solidFill>
            <a:uFillTx/>
            <a:latin typeface="+mn-lt"/>
            <a:ea typeface="+mn-ea"/>
            <a:cs typeface="+mn-cs"/>
            <a:sym typeface="Baskerville"/>
          </a:endParaRPr>
        </a:p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32" strike="noStrike" sz="3200" u="none">
              <a:ln>
                <a:noFill/>
              </a:ln>
              <a:solidFill>
                <a:schemeClr val="accent4">
                  <a:hueOff val="-56429"/>
                  <a:satOff val="-3381"/>
                  <a:lumOff val="-14918"/>
                </a:schemeClr>
              </a:solidFill>
              <a:uFillTx/>
              <a:latin typeface="+mn-lt"/>
              <a:ea typeface="+mn-ea"/>
              <a:cs typeface="+mn-cs"/>
              <a:sym typeface="Baskerville"/>
            </a:defRPr>
          </a:pPr>
          <a:endParaRPr b="0" baseline="0" cap="none" i="0" spc="32" strike="noStrike" sz="3200" u="none">
            <a:ln>
              <a:noFill/>
            </a:ln>
            <a:solidFill>
              <a:schemeClr val="accent4">
                <a:hueOff val="-56429"/>
                <a:satOff val="-3381"/>
                <a:lumOff val="-14918"/>
              </a:schemeClr>
            </a:solidFill>
            <a:uFillTx/>
            <a:latin typeface="+mn-lt"/>
            <a:ea typeface="+mn-ea"/>
            <a:cs typeface="+mn-cs"/>
            <a:sym typeface="Baskerville"/>
          </a:endParaRPr>
        </a:p>
      </xdr:txBody>
    </xdr:sp>
    <xdr:clientData/>
  </xdr:twoCellAnchor>
  <xdr:twoCellAnchor>
    <xdr:from>
      <xdr:col>0</xdr:col>
      <xdr:colOff>0</xdr:colOff>
      <xdr:row>0</xdr:row>
      <xdr:rowOff>596900</xdr:rowOff>
    </xdr:from>
    <xdr:to>
      <xdr:col>2</xdr:col>
      <xdr:colOff>990600</xdr:colOff>
      <xdr:row>0</xdr:row>
      <xdr:rowOff>596900</xdr:rowOff>
    </xdr:to>
    <xdr:sp>
      <xdr:nvSpPr>
        <xdr:cNvPr id="42" name="Shape 42"/>
        <xdr:cNvSpPr/>
      </xdr:nvSpPr>
      <xdr:spPr>
        <a:xfrm>
          <a:off x="0" y="596900"/>
          <a:ext cx="6858000" cy="1"/>
        </a:xfrm>
        <a:prstGeom prst="line">
          <a:avLst/>
        </a:prstGeom>
        <a:noFill/>
        <a:ln w="12700" cap="flat">
          <a:solidFill>
            <a:srgbClr val="AAAAAA"/>
          </a:solidFill>
          <a:custDash>
            <a:ds d="200000" sp="200000"/>
          </a:custDash>
          <a:miter lim="400000"/>
        </a:ln>
        <a:effectLst/>
      </xdr:spPr>
      <xdr:txBody>
        <a:bodyPr/>
        <a:lstStyle/>
        <a:p>
          <a:pPr/>
        </a:p>
      </xdr:txBody>
    </xdr:sp>
    <xdr:clientData/>
  </xdr:twoCellAnchor>
</xdr:wsDr>
</file>

<file path=xl/drawings/drawing15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0</xdr:colOff>
      <xdr:row>0</xdr:row>
      <xdr:rowOff>0</xdr:rowOff>
    </xdr:from>
    <xdr:to>
      <xdr:col>0</xdr:col>
      <xdr:colOff>3336853</xdr:colOff>
      <xdr:row>19</xdr:row>
      <xdr:rowOff>111125</xdr:rowOff>
    </xdr:to>
    <xdr:sp>
      <xdr:nvSpPr>
        <xdr:cNvPr id="44" name="Shape 44"/>
        <xdr:cNvSpPr txBox="1"/>
      </xdr:nvSpPr>
      <xdr:spPr>
        <a:xfrm>
          <a:off x="-19050" y="-387668"/>
          <a:ext cx="3336854" cy="5944236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none" lIns="0" tIns="0" rIns="0" bIns="0" numCol="1" anchor="t">
          <a:spAutoFit/>
        </a:bodyPr>
        <a:lstStyle/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32" strike="noStrike" sz="3200" u="none">
              <a:ln>
                <a:noFill/>
              </a:ln>
              <a:solidFill>
                <a:schemeClr val="accent4">
                  <a:hueOff val="-56429"/>
                  <a:satOff val="-3381"/>
                  <a:lumOff val="-14918"/>
                </a:schemeClr>
              </a:solidFill>
              <a:uFillTx/>
              <a:latin typeface="+mn-lt"/>
              <a:ea typeface="+mn-ea"/>
              <a:cs typeface="+mn-cs"/>
              <a:sym typeface="Baskerville"/>
            </a:defRPr>
          </a:pPr>
          <a:r>
            <a:rPr b="0" baseline="0" cap="none" i="0" spc="32" strike="noStrike" sz="3200" u="none">
              <a:ln>
                <a:noFill/>
              </a:ln>
              <a:solidFill>
                <a:schemeClr val="accent4">
                  <a:hueOff val="-56429"/>
                  <a:satOff val="-3381"/>
                  <a:lumOff val="-14918"/>
                </a:schemeClr>
              </a:solidFill>
              <a:uFillTx/>
              <a:latin typeface="+mn-lt"/>
              <a:ea typeface="+mn-ea"/>
              <a:cs typeface="+mn-cs"/>
              <a:sym typeface="Baskerville"/>
            </a:rPr>
            <a:t>Kabkoubé Taztziki</a:t>
          </a:r>
          <a:endParaRPr b="0" baseline="0" cap="none" i="0" spc="32" strike="noStrike" sz="3200" u="none">
            <a:ln>
              <a:noFill/>
            </a:ln>
            <a:solidFill>
              <a:schemeClr val="accent4">
                <a:hueOff val="-56429"/>
                <a:satOff val="-3381"/>
                <a:lumOff val="-14918"/>
              </a:schemeClr>
            </a:solidFill>
            <a:uFillTx/>
            <a:latin typeface="+mn-lt"/>
            <a:ea typeface="+mn-ea"/>
            <a:cs typeface="+mn-cs"/>
            <a:sym typeface="Baskerville"/>
          </a:endParaRPr>
        </a:p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32" strike="noStrike" sz="3200" u="none">
              <a:ln>
                <a:noFill/>
              </a:ln>
              <a:solidFill>
                <a:schemeClr val="accent4">
                  <a:hueOff val="-56429"/>
                  <a:satOff val="-3381"/>
                  <a:lumOff val="-14918"/>
                </a:schemeClr>
              </a:solidFill>
              <a:uFillTx/>
              <a:latin typeface="+mn-lt"/>
              <a:ea typeface="+mn-ea"/>
              <a:cs typeface="+mn-cs"/>
              <a:sym typeface="Baskerville"/>
            </a:defRPr>
          </a:pPr>
          <a:endParaRPr b="0" baseline="0" cap="none" i="0" spc="32" strike="noStrike" sz="3200" u="none">
            <a:ln>
              <a:noFill/>
            </a:ln>
            <a:solidFill>
              <a:schemeClr val="accent4">
                <a:hueOff val="-56429"/>
                <a:satOff val="-3381"/>
                <a:lumOff val="-14918"/>
              </a:schemeClr>
            </a:solidFill>
            <a:uFillTx/>
            <a:latin typeface="+mn-lt"/>
            <a:ea typeface="+mn-ea"/>
            <a:cs typeface="+mn-cs"/>
            <a:sym typeface="Baskerville"/>
          </a:endParaRPr>
        </a:p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32" strike="noStrike" sz="3200" u="none">
              <a:ln>
                <a:noFill/>
              </a:ln>
              <a:solidFill>
                <a:schemeClr val="accent4">
                  <a:hueOff val="-56429"/>
                  <a:satOff val="-3381"/>
                  <a:lumOff val="-14918"/>
                </a:schemeClr>
              </a:solidFill>
              <a:uFillTx/>
              <a:latin typeface="+mn-lt"/>
              <a:ea typeface="+mn-ea"/>
              <a:cs typeface="+mn-cs"/>
              <a:sym typeface="Baskerville"/>
            </a:defRPr>
          </a:pPr>
          <a:endParaRPr b="0" baseline="0" cap="none" i="0" spc="32" strike="noStrike" sz="3200" u="none">
            <a:ln>
              <a:noFill/>
            </a:ln>
            <a:solidFill>
              <a:schemeClr val="accent4">
                <a:hueOff val="-56429"/>
                <a:satOff val="-3381"/>
                <a:lumOff val="-14918"/>
              </a:schemeClr>
            </a:solidFill>
            <a:uFillTx/>
            <a:latin typeface="+mn-lt"/>
            <a:ea typeface="+mn-ea"/>
            <a:cs typeface="+mn-cs"/>
            <a:sym typeface="Baskerville"/>
          </a:endParaRPr>
        </a:p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32" strike="noStrike" sz="3200" u="none">
              <a:ln>
                <a:noFill/>
              </a:ln>
              <a:solidFill>
                <a:schemeClr val="accent4">
                  <a:hueOff val="-56429"/>
                  <a:satOff val="-3381"/>
                  <a:lumOff val="-14918"/>
                </a:schemeClr>
              </a:solidFill>
              <a:uFillTx/>
              <a:latin typeface="+mn-lt"/>
              <a:ea typeface="+mn-ea"/>
              <a:cs typeface="+mn-cs"/>
              <a:sym typeface="Baskerville"/>
            </a:defRPr>
          </a:pPr>
          <a:endParaRPr b="0" baseline="0" cap="none" i="0" spc="32" strike="noStrike" sz="3200" u="none">
            <a:ln>
              <a:noFill/>
            </a:ln>
            <a:solidFill>
              <a:schemeClr val="accent4">
                <a:hueOff val="-56429"/>
                <a:satOff val="-3381"/>
                <a:lumOff val="-14918"/>
              </a:schemeClr>
            </a:solidFill>
            <a:uFillTx/>
            <a:latin typeface="+mn-lt"/>
            <a:ea typeface="+mn-ea"/>
            <a:cs typeface="+mn-cs"/>
            <a:sym typeface="Baskerville"/>
          </a:endParaRPr>
        </a:p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32" strike="noStrike" sz="3200" u="none">
              <a:ln>
                <a:noFill/>
              </a:ln>
              <a:solidFill>
                <a:schemeClr val="accent4">
                  <a:hueOff val="-56429"/>
                  <a:satOff val="-3381"/>
                  <a:lumOff val="-14918"/>
                </a:schemeClr>
              </a:solidFill>
              <a:uFillTx/>
              <a:latin typeface="+mn-lt"/>
              <a:ea typeface="+mn-ea"/>
              <a:cs typeface="+mn-cs"/>
              <a:sym typeface="Baskerville"/>
            </a:defRPr>
          </a:pPr>
          <a:endParaRPr b="0" baseline="0" cap="none" i="0" spc="32" strike="noStrike" sz="3200" u="none">
            <a:ln>
              <a:noFill/>
            </a:ln>
            <a:solidFill>
              <a:schemeClr val="accent4">
                <a:hueOff val="-56429"/>
                <a:satOff val="-3381"/>
                <a:lumOff val="-14918"/>
              </a:schemeClr>
            </a:solidFill>
            <a:uFillTx/>
            <a:latin typeface="+mn-lt"/>
            <a:ea typeface="+mn-ea"/>
            <a:cs typeface="+mn-cs"/>
            <a:sym typeface="Baskerville"/>
          </a:endParaRPr>
        </a:p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32" strike="noStrike" sz="3200" u="none">
              <a:ln>
                <a:noFill/>
              </a:ln>
              <a:solidFill>
                <a:schemeClr val="accent4">
                  <a:hueOff val="-56429"/>
                  <a:satOff val="-3381"/>
                  <a:lumOff val="-14918"/>
                </a:schemeClr>
              </a:solidFill>
              <a:uFillTx/>
              <a:latin typeface="+mn-lt"/>
              <a:ea typeface="+mn-ea"/>
              <a:cs typeface="+mn-cs"/>
              <a:sym typeface="Baskerville"/>
            </a:defRPr>
          </a:pPr>
          <a:endParaRPr b="0" baseline="0" cap="none" i="0" spc="32" strike="noStrike" sz="3200" u="none">
            <a:ln>
              <a:noFill/>
            </a:ln>
            <a:solidFill>
              <a:schemeClr val="accent4">
                <a:hueOff val="-56429"/>
                <a:satOff val="-3381"/>
                <a:lumOff val="-14918"/>
              </a:schemeClr>
            </a:solidFill>
            <a:uFillTx/>
            <a:latin typeface="+mn-lt"/>
            <a:ea typeface="+mn-ea"/>
            <a:cs typeface="+mn-cs"/>
            <a:sym typeface="Baskerville"/>
          </a:endParaRPr>
        </a:p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32" strike="noStrike" sz="3200" u="none">
              <a:ln>
                <a:noFill/>
              </a:ln>
              <a:solidFill>
                <a:schemeClr val="accent4">
                  <a:hueOff val="-56429"/>
                  <a:satOff val="-3381"/>
                  <a:lumOff val="-14918"/>
                </a:schemeClr>
              </a:solidFill>
              <a:uFillTx/>
              <a:latin typeface="+mn-lt"/>
              <a:ea typeface="+mn-ea"/>
              <a:cs typeface="+mn-cs"/>
              <a:sym typeface="Baskerville"/>
            </a:defRPr>
          </a:pPr>
          <a:endParaRPr b="0" baseline="0" cap="none" i="0" spc="32" strike="noStrike" sz="3200" u="none">
            <a:ln>
              <a:noFill/>
            </a:ln>
            <a:solidFill>
              <a:schemeClr val="accent4">
                <a:hueOff val="-56429"/>
                <a:satOff val="-3381"/>
                <a:lumOff val="-14918"/>
              </a:schemeClr>
            </a:solidFill>
            <a:uFillTx/>
            <a:latin typeface="+mn-lt"/>
            <a:ea typeface="+mn-ea"/>
            <a:cs typeface="+mn-cs"/>
            <a:sym typeface="Baskerville"/>
          </a:endParaRPr>
        </a:p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32" strike="noStrike" sz="3200" u="none">
              <a:ln>
                <a:noFill/>
              </a:ln>
              <a:solidFill>
                <a:schemeClr val="accent4">
                  <a:hueOff val="-56429"/>
                  <a:satOff val="-3381"/>
                  <a:lumOff val="-14918"/>
                </a:schemeClr>
              </a:solidFill>
              <a:uFillTx/>
              <a:latin typeface="+mn-lt"/>
              <a:ea typeface="+mn-ea"/>
              <a:cs typeface="+mn-cs"/>
              <a:sym typeface="Baskerville"/>
            </a:defRPr>
          </a:pPr>
          <a:endParaRPr b="0" baseline="0" cap="none" i="0" spc="32" strike="noStrike" sz="3200" u="none">
            <a:ln>
              <a:noFill/>
            </a:ln>
            <a:solidFill>
              <a:schemeClr val="accent4">
                <a:hueOff val="-56429"/>
                <a:satOff val="-3381"/>
                <a:lumOff val="-14918"/>
              </a:schemeClr>
            </a:solidFill>
            <a:uFillTx/>
            <a:latin typeface="+mn-lt"/>
            <a:ea typeface="+mn-ea"/>
            <a:cs typeface="+mn-cs"/>
            <a:sym typeface="Baskerville"/>
          </a:endParaRPr>
        </a:p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32" strike="noStrike" sz="3200" u="none">
              <a:ln>
                <a:noFill/>
              </a:ln>
              <a:solidFill>
                <a:schemeClr val="accent4">
                  <a:hueOff val="-56429"/>
                  <a:satOff val="-3381"/>
                  <a:lumOff val="-14918"/>
                </a:schemeClr>
              </a:solidFill>
              <a:uFillTx/>
              <a:latin typeface="+mn-lt"/>
              <a:ea typeface="+mn-ea"/>
              <a:cs typeface="+mn-cs"/>
              <a:sym typeface="Baskerville"/>
            </a:defRPr>
          </a:pPr>
          <a:endParaRPr b="0" baseline="0" cap="none" i="0" spc="32" strike="noStrike" sz="3200" u="none">
            <a:ln>
              <a:noFill/>
            </a:ln>
            <a:solidFill>
              <a:schemeClr val="accent4">
                <a:hueOff val="-56429"/>
                <a:satOff val="-3381"/>
                <a:lumOff val="-14918"/>
              </a:schemeClr>
            </a:solidFill>
            <a:uFillTx/>
            <a:latin typeface="+mn-lt"/>
            <a:ea typeface="+mn-ea"/>
            <a:cs typeface="+mn-cs"/>
            <a:sym typeface="Baskerville"/>
          </a:endParaRPr>
        </a:p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32" strike="noStrike" sz="3200" u="none">
              <a:ln>
                <a:noFill/>
              </a:ln>
              <a:solidFill>
                <a:schemeClr val="accent4">
                  <a:hueOff val="-56429"/>
                  <a:satOff val="-3381"/>
                  <a:lumOff val="-14918"/>
                </a:schemeClr>
              </a:solidFill>
              <a:uFillTx/>
              <a:latin typeface="+mn-lt"/>
              <a:ea typeface="+mn-ea"/>
              <a:cs typeface="+mn-cs"/>
              <a:sym typeface="Baskerville"/>
            </a:defRPr>
          </a:pPr>
          <a:endParaRPr b="0" baseline="0" cap="none" i="0" spc="32" strike="noStrike" sz="3200" u="none">
            <a:ln>
              <a:noFill/>
            </a:ln>
            <a:solidFill>
              <a:schemeClr val="accent4">
                <a:hueOff val="-56429"/>
                <a:satOff val="-3381"/>
                <a:lumOff val="-14918"/>
              </a:schemeClr>
            </a:solidFill>
            <a:uFillTx/>
            <a:latin typeface="+mn-lt"/>
            <a:ea typeface="+mn-ea"/>
            <a:cs typeface="+mn-cs"/>
            <a:sym typeface="Baskerville"/>
          </a:endParaRPr>
        </a:p>
      </xdr:txBody>
    </xdr:sp>
    <xdr:clientData/>
  </xdr:twoCellAnchor>
  <xdr:twoCellAnchor>
    <xdr:from>
      <xdr:col>0</xdr:col>
      <xdr:colOff>0</xdr:colOff>
      <xdr:row>0</xdr:row>
      <xdr:rowOff>596900</xdr:rowOff>
    </xdr:from>
    <xdr:to>
      <xdr:col>2</xdr:col>
      <xdr:colOff>584200</xdr:colOff>
      <xdr:row>0</xdr:row>
      <xdr:rowOff>596900</xdr:rowOff>
    </xdr:to>
    <xdr:sp>
      <xdr:nvSpPr>
        <xdr:cNvPr id="45" name="Shape 45"/>
        <xdr:cNvSpPr/>
      </xdr:nvSpPr>
      <xdr:spPr>
        <a:xfrm>
          <a:off x="0" y="596900"/>
          <a:ext cx="6858000" cy="1"/>
        </a:xfrm>
        <a:prstGeom prst="line">
          <a:avLst/>
        </a:prstGeom>
        <a:noFill/>
        <a:ln w="12700" cap="flat">
          <a:solidFill>
            <a:srgbClr val="AAAAAA"/>
          </a:solidFill>
          <a:custDash>
            <a:ds d="200000" sp="200000"/>
          </a:custDash>
          <a:miter lim="4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0</xdr:col>
      <xdr:colOff>0</xdr:colOff>
      <xdr:row>4</xdr:row>
      <xdr:rowOff>200660</xdr:rowOff>
    </xdr:from>
    <xdr:to>
      <xdr:col>0</xdr:col>
      <xdr:colOff>4037781</xdr:colOff>
      <xdr:row>12</xdr:row>
      <xdr:rowOff>20320</xdr:rowOff>
    </xdr:to>
    <xdr:sp>
      <xdr:nvSpPr>
        <xdr:cNvPr id="46" name="Shape 46"/>
        <xdr:cNvSpPr txBox="1"/>
      </xdr:nvSpPr>
      <xdr:spPr>
        <a:xfrm>
          <a:off x="-19051" y="2069464"/>
          <a:ext cx="4037783" cy="1957071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50800" tIns="50800" rIns="50800" bIns="50800" numCol="1" anchor="t">
          <a:spAutoFit/>
        </a:bodyPr>
        <a:lstStyle/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1" baseline="0" cap="none" i="0" spc="0" strike="noStrike" sz="1200" u="none">
              <a:ln>
                <a:noFill/>
              </a:ln>
              <a:solidFill>
                <a:srgbClr val="444444"/>
              </a:solidFill>
              <a:uFillTx/>
              <a:latin typeface="Georgia"/>
              <a:ea typeface="Georgia"/>
              <a:cs typeface="Georgia"/>
              <a:sym typeface="Georgia"/>
            </a:defRPr>
          </a:pPr>
          <a:r>
            <a:rPr b="1" baseline="0" cap="none" i="0" spc="0" strike="noStrike" sz="1200" u="none">
              <a:ln>
                <a:noFill/>
              </a:ln>
              <a:solidFill>
                <a:srgbClr val="444444"/>
              </a:solidFill>
              <a:uFillTx/>
              <a:latin typeface="Georgia"/>
              <a:ea typeface="Georgia"/>
              <a:cs typeface="Georgia"/>
              <a:sym typeface="Georgia"/>
            </a:rPr>
            <a:t>TZATZIKI 260g</a:t>
          </a:r>
          <a:endParaRPr b="1" baseline="0" cap="none" i="0" spc="0" strike="noStrike" sz="1200" u="none">
            <a:ln>
              <a:noFill/>
            </a:ln>
            <a:solidFill>
              <a:srgbClr val="444444"/>
            </a:solidFill>
            <a:uFillTx/>
            <a:latin typeface="Georgia"/>
            <a:ea typeface="Georgia"/>
            <a:cs typeface="Georgia"/>
            <a:sym typeface="Georgia"/>
          </a:endParaRPr>
        </a:p>
        <a:p>
          <a:pPr marL="457200" marR="0" indent="-31750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 typeface="Georgia"/>
            <a:buChar char="•"/>
            <a:tabLst/>
            <a:defRPr b="1" baseline="0" cap="none" i="0" spc="0" strike="noStrike" sz="1200" u="none">
              <a:ln>
                <a:noFill/>
              </a:ln>
              <a:solidFill>
                <a:srgbClr val="444444"/>
              </a:solidFill>
              <a:uFillTx/>
              <a:latin typeface="Georgia"/>
              <a:ea typeface="Georgia"/>
              <a:cs typeface="Georgia"/>
              <a:sym typeface="Georgia"/>
            </a:defRPr>
          </a:pPr>
          <a:r>
            <a:rPr b="1" baseline="0" cap="none" i="0" spc="0" strike="noStrike" sz="1200" u="none">
              <a:ln>
                <a:noFill/>
              </a:ln>
              <a:solidFill>
                <a:srgbClr val="444444"/>
              </a:solidFill>
              <a:uFillTx/>
              <a:latin typeface="Georgia"/>
              <a:ea typeface="Georgia"/>
              <a:cs typeface="Georgia"/>
              <a:sym typeface="Georgia"/>
            </a:rPr>
            <a:t>1 large cucumber</a:t>
          </a:r>
          <a:endParaRPr b="1" baseline="0" cap="none" i="0" spc="0" strike="noStrike" sz="1200" u="none">
            <a:ln>
              <a:noFill/>
            </a:ln>
            <a:solidFill>
              <a:srgbClr val="444444"/>
            </a:solidFill>
            <a:uFillTx/>
            <a:latin typeface="Georgia"/>
            <a:ea typeface="Georgia"/>
            <a:cs typeface="Georgia"/>
            <a:sym typeface="Georgia"/>
          </a:endParaRPr>
        </a:p>
        <a:p>
          <a:pPr marL="457200" marR="0" indent="-31750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 typeface="Georgia"/>
            <a:buChar char="•"/>
            <a:tabLst/>
            <a:defRPr b="1" baseline="0" cap="none" i="0" spc="0" strike="noStrike" sz="1200" u="none">
              <a:ln>
                <a:noFill/>
              </a:ln>
              <a:solidFill>
                <a:srgbClr val="444444"/>
              </a:solidFill>
              <a:uFillTx/>
              <a:latin typeface="Georgia"/>
              <a:ea typeface="Georgia"/>
              <a:cs typeface="Georgia"/>
              <a:sym typeface="Georgia"/>
            </a:defRPr>
          </a:pPr>
          <a:r>
            <a:rPr b="1" baseline="0" cap="none" i="0" spc="0" strike="noStrike" sz="1200" u="none">
              <a:ln>
                <a:noFill/>
              </a:ln>
              <a:solidFill>
                <a:srgbClr val="444444"/>
              </a:solidFill>
              <a:uFillTx/>
              <a:latin typeface="Georgia"/>
              <a:ea typeface="Georgia"/>
              <a:cs typeface="Georgia"/>
              <a:sym typeface="Georgia"/>
            </a:rPr>
            <a:t>1 ½ cups Labné </a:t>
          </a:r>
          <a:endParaRPr b="1" baseline="0" cap="none" i="0" spc="0" strike="noStrike" sz="1200" u="none">
            <a:ln>
              <a:noFill/>
            </a:ln>
            <a:solidFill>
              <a:srgbClr val="444444"/>
            </a:solidFill>
            <a:uFillTx/>
            <a:latin typeface="Georgia"/>
            <a:ea typeface="Georgia"/>
            <a:cs typeface="Georgia"/>
            <a:sym typeface="Georgia"/>
          </a:endParaRPr>
        </a:p>
        <a:p>
          <a:pPr marL="457200" marR="0" indent="-31750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 typeface="Georgia"/>
            <a:buChar char="•"/>
            <a:tabLst/>
            <a:defRPr b="1" baseline="0" cap="none" i="0" spc="0" strike="noStrike" sz="1200" u="none">
              <a:ln>
                <a:noFill/>
              </a:ln>
              <a:solidFill>
                <a:srgbClr val="444444"/>
              </a:solidFill>
              <a:uFillTx/>
              <a:latin typeface="Georgia"/>
              <a:ea typeface="Georgia"/>
              <a:cs typeface="Georgia"/>
              <a:sym typeface="Georgia"/>
            </a:defRPr>
          </a:pPr>
          <a:r>
            <a:rPr b="1" baseline="0" cap="none" i="0" spc="0" strike="noStrike" sz="1200" u="none">
              <a:ln>
                <a:noFill/>
              </a:ln>
              <a:solidFill>
                <a:srgbClr val="444444"/>
              </a:solidFill>
              <a:uFillTx/>
              <a:latin typeface="Georgia"/>
              <a:ea typeface="Georgia"/>
              <a:cs typeface="Georgia"/>
              <a:sym typeface="Georgia"/>
            </a:rPr>
            <a:t>2 tablespoons extra-virgin olive oil</a:t>
          </a:r>
          <a:endParaRPr b="1" baseline="0" cap="none" i="0" spc="0" strike="noStrike" sz="1200" u="none">
            <a:ln>
              <a:noFill/>
            </a:ln>
            <a:solidFill>
              <a:srgbClr val="444444"/>
            </a:solidFill>
            <a:uFillTx/>
            <a:latin typeface="Georgia"/>
            <a:ea typeface="Georgia"/>
            <a:cs typeface="Georgia"/>
            <a:sym typeface="Georgia"/>
          </a:endParaRPr>
        </a:p>
        <a:p>
          <a:pPr marL="457200" marR="0" indent="-31750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 typeface="Georgia"/>
            <a:buChar char="•"/>
            <a:tabLst/>
            <a:defRPr b="1" baseline="0" cap="none" i="0" spc="0" strike="noStrike" sz="1200" u="none">
              <a:ln>
                <a:noFill/>
              </a:ln>
              <a:solidFill>
                <a:srgbClr val="444444"/>
              </a:solidFill>
              <a:uFillTx/>
              <a:latin typeface="Georgia"/>
              <a:ea typeface="Georgia"/>
              <a:cs typeface="Georgia"/>
              <a:sym typeface="Georgia"/>
            </a:defRPr>
          </a:pPr>
          <a:r>
            <a:rPr b="1" baseline="0" cap="none" i="0" spc="0" strike="noStrike" sz="1200" u="none">
              <a:ln>
                <a:noFill/>
              </a:ln>
              <a:solidFill>
                <a:srgbClr val="444444"/>
              </a:solidFill>
              <a:uFillTx/>
              <a:latin typeface="Georgia"/>
              <a:ea typeface="Georgia"/>
              <a:cs typeface="Georgia"/>
              <a:sym typeface="Georgia"/>
            </a:rPr>
            <a:t>2 tablespoons chopped fresh mint </a:t>
          </a:r>
          <a:r>
            <a:rPr b="1" baseline="0" cap="none" i="0" spc="0" strike="noStrike" sz="1200" u="sng">
              <a:ln>
                <a:noFill/>
              </a:ln>
              <a:solidFill>
                <a:srgbClr val="444444"/>
              </a:solidFill>
              <a:uFillTx/>
              <a:latin typeface="Georgia"/>
              <a:ea typeface="Georgia"/>
              <a:cs typeface="Georgia"/>
              <a:sym typeface="Georgia"/>
            </a:rPr>
            <a:t>a</a:t>
          </a:r>
          <a:r>
            <a:rPr b="1" baseline="0" cap="none" i="1" spc="0" strike="noStrike" sz="1200" u="sng">
              <a:ln>
                <a:noFill/>
              </a:ln>
              <a:solidFill>
                <a:srgbClr val="444444"/>
              </a:solidFill>
              <a:uFillTx/>
              <a:latin typeface="Georgia"/>
              <a:ea typeface="Georgia"/>
              <a:cs typeface="Georgia"/>
              <a:sym typeface="Georgia"/>
            </a:rPr>
            <a:t>nd/or</a:t>
          </a:r>
          <a:r>
            <a:rPr b="1" baseline="0" cap="none" i="0" spc="0" strike="noStrike" sz="1200" u="none">
              <a:ln>
                <a:noFill/>
              </a:ln>
              <a:solidFill>
                <a:srgbClr val="444444"/>
              </a:solidFill>
              <a:uFillTx/>
              <a:latin typeface="Georgia"/>
              <a:ea typeface="Georgia"/>
              <a:cs typeface="Georgia"/>
              <a:sym typeface="Georgia"/>
            </a:rPr>
            <a:t> dill</a:t>
          </a:r>
          <a:endParaRPr b="1" baseline="0" cap="none" i="0" spc="0" strike="noStrike" sz="1200" u="none">
            <a:ln>
              <a:noFill/>
            </a:ln>
            <a:solidFill>
              <a:srgbClr val="444444"/>
            </a:solidFill>
            <a:uFillTx/>
            <a:latin typeface="Georgia"/>
            <a:ea typeface="Georgia"/>
            <a:cs typeface="Georgia"/>
            <a:sym typeface="Georgia"/>
          </a:endParaRPr>
        </a:p>
        <a:p>
          <a:pPr marL="457200" marR="0" indent="-31750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 typeface="Georgia"/>
            <a:buChar char="•"/>
            <a:tabLst/>
            <a:defRPr b="1" baseline="0" cap="none" i="0" spc="0" strike="noStrike" sz="1200" u="none">
              <a:ln>
                <a:noFill/>
              </a:ln>
              <a:solidFill>
                <a:srgbClr val="444444"/>
              </a:solidFill>
              <a:uFillTx/>
              <a:latin typeface="Georgia"/>
              <a:ea typeface="Georgia"/>
              <a:cs typeface="Georgia"/>
              <a:sym typeface="Georgia"/>
            </a:defRPr>
          </a:pPr>
          <a:r>
            <a:rPr b="1" baseline="0" cap="none" i="0" spc="0" strike="noStrike" sz="1200" u="none">
              <a:ln>
                <a:noFill/>
              </a:ln>
              <a:solidFill>
                <a:srgbClr val="444444"/>
              </a:solidFill>
              <a:uFillTx/>
              <a:latin typeface="Georgia"/>
              <a:ea typeface="Georgia"/>
              <a:cs typeface="Georgia"/>
              <a:sym typeface="Georgia"/>
            </a:rPr>
            <a:t>1 tablespoon lemon juice</a:t>
          </a:r>
          <a:endParaRPr b="1" baseline="0" cap="none" i="0" spc="0" strike="noStrike" sz="1200" u="none">
            <a:ln>
              <a:noFill/>
            </a:ln>
            <a:solidFill>
              <a:srgbClr val="444444"/>
            </a:solidFill>
            <a:uFillTx/>
            <a:latin typeface="Georgia"/>
            <a:ea typeface="Georgia"/>
            <a:cs typeface="Georgia"/>
            <a:sym typeface="Georgia"/>
          </a:endParaRPr>
        </a:p>
        <a:p>
          <a:pPr marL="457200" marR="0" indent="-31750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 typeface="Georgia"/>
            <a:buChar char="•"/>
            <a:tabLst/>
            <a:defRPr b="1" baseline="0" cap="none" i="0" spc="0" strike="noStrike" sz="1200" u="none">
              <a:ln>
                <a:noFill/>
              </a:ln>
              <a:solidFill>
                <a:srgbClr val="444444"/>
              </a:solidFill>
              <a:uFillTx/>
              <a:latin typeface="Georgia"/>
              <a:ea typeface="Georgia"/>
              <a:cs typeface="Georgia"/>
              <a:sym typeface="Georgia"/>
            </a:defRPr>
          </a:pPr>
          <a:r>
            <a:rPr b="1" baseline="0" cap="none" i="0" spc="0" strike="noStrike" sz="1200" u="none">
              <a:ln>
                <a:noFill/>
              </a:ln>
              <a:solidFill>
                <a:srgbClr val="444444"/>
              </a:solidFill>
              <a:uFillTx/>
              <a:latin typeface="Georgia"/>
              <a:ea typeface="Georgia"/>
              <a:cs typeface="Georgia"/>
              <a:sym typeface="Georgia"/>
            </a:rPr>
            <a:t>2 medium cloves garlic</a:t>
          </a:r>
          <a:endParaRPr b="1" baseline="0" cap="none" i="0" spc="0" strike="noStrike" sz="1200" u="none">
            <a:ln>
              <a:noFill/>
            </a:ln>
            <a:solidFill>
              <a:srgbClr val="444444"/>
            </a:solidFill>
            <a:uFillTx/>
            <a:latin typeface="Georgia"/>
            <a:ea typeface="Georgia"/>
            <a:cs typeface="Georgia"/>
            <a:sym typeface="Georgia"/>
          </a:endParaRPr>
        </a:p>
        <a:p>
          <a:pPr marL="457200" marR="0" indent="-31750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 typeface="Georgia"/>
            <a:buChar char="•"/>
            <a:tabLst/>
            <a:defRPr b="1" baseline="0" cap="none" i="0" spc="0" strike="noStrike" sz="1200" u="none">
              <a:ln>
                <a:noFill/>
              </a:ln>
              <a:solidFill>
                <a:srgbClr val="444444"/>
              </a:solidFill>
              <a:uFillTx/>
              <a:latin typeface="Georgia"/>
              <a:ea typeface="Georgia"/>
              <a:cs typeface="Georgia"/>
              <a:sym typeface="Georgia"/>
            </a:defRPr>
          </a:pPr>
          <a:r>
            <a:rPr b="1" baseline="0" cap="none" i="0" spc="0" strike="noStrike" sz="1200" u="none">
              <a:ln>
                <a:noFill/>
              </a:ln>
              <a:solidFill>
                <a:srgbClr val="444444"/>
              </a:solidFill>
              <a:uFillTx/>
              <a:latin typeface="Georgia"/>
              <a:ea typeface="Georgia"/>
              <a:cs typeface="Georgia"/>
              <a:sym typeface="Georgia"/>
            </a:rPr>
            <a:t>½ teaspoon fine sea salt</a:t>
          </a:r>
        </a:p>
      </xdr:txBody>
    </xdr:sp>
    <xdr:clientData/>
  </xdr:twoCellAnchor>
</xdr:wsDr>
</file>

<file path=xl/drawings/drawing16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0</xdr:colOff>
      <xdr:row>0</xdr:row>
      <xdr:rowOff>0</xdr:rowOff>
    </xdr:from>
    <xdr:to>
      <xdr:col>5</xdr:col>
      <xdr:colOff>15208</xdr:colOff>
      <xdr:row>16</xdr:row>
      <xdr:rowOff>224790</xdr:rowOff>
    </xdr:to>
    <xdr:sp>
      <xdr:nvSpPr>
        <xdr:cNvPr id="48" name="Shape 48"/>
        <xdr:cNvSpPr txBox="1"/>
      </xdr:nvSpPr>
      <xdr:spPr>
        <a:xfrm>
          <a:off x="-19050" y="-309880"/>
          <a:ext cx="3063209" cy="5725160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none" lIns="0" tIns="0" rIns="0" bIns="0" numCol="1" anchor="t">
          <a:spAutoFit/>
        </a:bodyPr>
        <a:lstStyle/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32" strike="noStrike" sz="3200" u="none">
              <a:ln>
                <a:noFill/>
              </a:ln>
              <a:solidFill>
                <a:schemeClr val="accent4">
                  <a:hueOff val="-56429"/>
                  <a:satOff val="-3381"/>
                  <a:lumOff val="-14918"/>
                </a:schemeClr>
              </a:solidFill>
              <a:uFillTx/>
              <a:latin typeface="+mn-lt"/>
              <a:ea typeface="+mn-ea"/>
              <a:cs typeface="+mn-cs"/>
              <a:sym typeface="Baskerville"/>
            </a:defRPr>
          </a:pPr>
          <a:r>
            <a:rPr b="0" baseline="0" cap="none" i="0" spc="32" strike="noStrike" sz="3200" u="none">
              <a:ln>
                <a:noFill/>
              </a:ln>
              <a:solidFill>
                <a:schemeClr val="accent4">
                  <a:hueOff val="-56429"/>
                  <a:satOff val="-3381"/>
                  <a:lumOff val="-14918"/>
                </a:schemeClr>
              </a:solidFill>
              <a:uFillTx/>
              <a:latin typeface="+mn-lt"/>
              <a:ea typeface="+mn-ea"/>
              <a:cs typeface="+mn-cs"/>
              <a:sym typeface="Baskerville"/>
            </a:rPr>
            <a:t>Vegan Tartelettes</a:t>
          </a:r>
          <a:endParaRPr b="0" baseline="0" cap="none" i="0" spc="32" strike="noStrike" sz="3200" u="none">
            <a:ln>
              <a:noFill/>
            </a:ln>
            <a:solidFill>
              <a:schemeClr val="accent4">
                <a:hueOff val="-56429"/>
                <a:satOff val="-3381"/>
                <a:lumOff val="-14918"/>
              </a:schemeClr>
            </a:solidFill>
            <a:uFillTx/>
            <a:latin typeface="+mn-lt"/>
            <a:ea typeface="+mn-ea"/>
            <a:cs typeface="+mn-cs"/>
            <a:sym typeface="Baskerville"/>
          </a:endParaRPr>
        </a:p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32" strike="noStrike" sz="3200" u="none">
              <a:ln>
                <a:noFill/>
              </a:ln>
              <a:solidFill>
                <a:schemeClr val="accent4">
                  <a:hueOff val="-56429"/>
                  <a:satOff val="-3381"/>
                  <a:lumOff val="-14918"/>
                </a:schemeClr>
              </a:solidFill>
              <a:uFillTx/>
              <a:latin typeface="+mn-lt"/>
              <a:ea typeface="+mn-ea"/>
              <a:cs typeface="+mn-cs"/>
              <a:sym typeface="Baskerville"/>
            </a:defRPr>
          </a:pPr>
          <a:endParaRPr b="0" baseline="0" cap="none" i="0" spc="32" strike="noStrike" sz="3200" u="none">
            <a:ln>
              <a:noFill/>
            </a:ln>
            <a:solidFill>
              <a:schemeClr val="accent4">
                <a:hueOff val="-56429"/>
                <a:satOff val="-3381"/>
                <a:lumOff val="-14918"/>
              </a:schemeClr>
            </a:solidFill>
            <a:uFillTx/>
            <a:latin typeface="+mn-lt"/>
            <a:ea typeface="+mn-ea"/>
            <a:cs typeface="+mn-cs"/>
            <a:sym typeface="Baskerville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1" baseline="0" cap="none" i="0" spc="19" strike="noStrike" sz="1900" u="none">
              <a:ln>
                <a:noFill/>
              </a:ln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Baskerville"/>
            </a:defRPr>
          </a:pPr>
          <a:r>
            <a:rPr b="1" baseline="0" cap="none" i="0" spc="19" strike="noStrike" sz="1900" u="none">
              <a:ln>
                <a:noFill/>
              </a:ln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Baskerville"/>
            </a:rPr>
            <a:t>Hommos Tartelette</a:t>
          </a:r>
          <a:endParaRPr b="1" baseline="0" cap="none" i="0" spc="19" strike="noStrike" sz="1900" u="none">
            <a:ln>
              <a:noFill/>
            </a:ln>
            <a:solidFill>
              <a:srgbClr val="000000"/>
            </a:solidFill>
            <a:uFillTx/>
            <a:latin typeface="+mn-lt"/>
            <a:ea typeface="+mn-ea"/>
            <a:cs typeface="+mn-cs"/>
            <a:sym typeface="Baskerville"/>
          </a:endParaRPr>
        </a:p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32" strike="noStrike" sz="3200" u="none">
              <a:ln>
                <a:noFill/>
              </a:ln>
              <a:solidFill>
                <a:schemeClr val="accent4">
                  <a:hueOff val="-56429"/>
                  <a:satOff val="-3381"/>
                  <a:lumOff val="-14918"/>
                </a:schemeClr>
              </a:solidFill>
              <a:uFillTx/>
              <a:latin typeface="+mn-lt"/>
              <a:ea typeface="+mn-ea"/>
              <a:cs typeface="+mn-cs"/>
              <a:sym typeface="Baskerville"/>
            </a:defRPr>
          </a:pPr>
          <a:endParaRPr b="0" baseline="0" cap="none" i="0" spc="32" strike="noStrike" sz="3200" u="none">
            <a:ln>
              <a:noFill/>
            </a:ln>
            <a:solidFill>
              <a:schemeClr val="accent4">
                <a:hueOff val="-56429"/>
                <a:satOff val="-3381"/>
                <a:lumOff val="-14918"/>
              </a:schemeClr>
            </a:solidFill>
            <a:uFillTx/>
            <a:latin typeface="+mn-lt"/>
            <a:ea typeface="+mn-ea"/>
            <a:cs typeface="+mn-cs"/>
            <a:sym typeface="Baskerville"/>
          </a:endParaRPr>
        </a:p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32" strike="noStrike" sz="3200" u="none">
              <a:ln>
                <a:noFill/>
              </a:ln>
              <a:solidFill>
                <a:schemeClr val="accent4">
                  <a:hueOff val="-56429"/>
                  <a:satOff val="-3381"/>
                  <a:lumOff val="-14918"/>
                </a:schemeClr>
              </a:solidFill>
              <a:uFillTx/>
              <a:latin typeface="+mn-lt"/>
              <a:ea typeface="+mn-ea"/>
              <a:cs typeface="+mn-cs"/>
              <a:sym typeface="Baskerville"/>
            </a:defRPr>
          </a:pPr>
          <a:endParaRPr b="0" baseline="0" cap="none" i="0" spc="32" strike="noStrike" sz="3200" u="none">
            <a:ln>
              <a:noFill/>
            </a:ln>
            <a:solidFill>
              <a:schemeClr val="accent4">
                <a:hueOff val="-56429"/>
                <a:satOff val="-3381"/>
                <a:lumOff val="-14918"/>
              </a:schemeClr>
            </a:solidFill>
            <a:uFillTx/>
            <a:latin typeface="+mn-lt"/>
            <a:ea typeface="+mn-ea"/>
            <a:cs typeface="+mn-cs"/>
            <a:sym typeface="Baskerville"/>
          </a:endParaRPr>
        </a:p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32" strike="noStrike" sz="3200" u="none">
              <a:ln>
                <a:noFill/>
              </a:ln>
              <a:solidFill>
                <a:schemeClr val="accent4">
                  <a:hueOff val="-56429"/>
                  <a:satOff val="-3381"/>
                  <a:lumOff val="-14918"/>
                </a:schemeClr>
              </a:solidFill>
              <a:uFillTx/>
              <a:latin typeface="+mn-lt"/>
              <a:ea typeface="+mn-ea"/>
              <a:cs typeface="+mn-cs"/>
              <a:sym typeface="Baskerville"/>
            </a:defRPr>
          </a:pPr>
          <a:endParaRPr b="0" baseline="0" cap="none" i="0" spc="32" strike="noStrike" sz="3200" u="none">
            <a:ln>
              <a:noFill/>
            </a:ln>
            <a:solidFill>
              <a:schemeClr val="accent4">
                <a:hueOff val="-56429"/>
                <a:satOff val="-3381"/>
                <a:lumOff val="-14918"/>
              </a:schemeClr>
            </a:solidFill>
            <a:uFillTx/>
            <a:latin typeface="+mn-lt"/>
            <a:ea typeface="+mn-ea"/>
            <a:cs typeface="+mn-cs"/>
            <a:sym typeface="Baskerville"/>
          </a:endParaRPr>
        </a:p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32" strike="noStrike" sz="3200" u="none">
              <a:ln>
                <a:noFill/>
              </a:ln>
              <a:solidFill>
                <a:schemeClr val="accent4">
                  <a:hueOff val="-56429"/>
                  <a:satOff val="-3381"/>
                  <a:lumOff val="-14918"/>
                </a:schemeClr>
              </a:solidFill>
              <a:uFillTx/>
              <a:latin typeface="+mn-lt"/>
              <a:ea typeface="+mn-ea"/>
              <a:cs typeface="+mn-cs"/>
              <a:sym typeface="Baskerville"/>
            </a:defRPr>
          </a:pPr>
          <a:endParaRPr b="0" baseline="0" cap="none" i="0" spc="32" strike="noStrike" sz="3200" u="none">
            <a:ln>
              <a:noFill/>
            </a:ln>
            <a:solidFill>
              <a:schemeClr val="accent4">
                <a:hueOff val="-56429"/>
                <a:satOff val="-3381"/>
                <a:lumOff val="-14918"/>
              </a:schemeClr>
            </a:solidFill>
            <a:uFillTx/>
            <a:latin typeface="+mn-lt"/>
            <a:ea typeface="+mn-ea"/>
            <a:cs typeface="+mn-cs"/>
            <a:sym typeface="Baskerville"/>
          </a:endParaRPr>
        </a:p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32" strike="noStrike" sz="3200" u="none">
              <a:ln>
                <a:noFill/>
              </a:ln>
              <a:solidFill>
                <a:schemeClr val="accent4">
                  <a:hueOff val="-56429"/>
                  <a:satOff val="-3381"/>
                  <a:lumOff val="-14918"/>
                </a:schemeClr>
              </a:solidFill>
              <a:uFillTx/>
              <a:latin typeface="+mn-lt"/>
              <a:ea typeface="+mn-ea"/>
              <a:cs typeface="+mn-cs"/>
              <a:sym typeface="Baskerville"/>
            </a:defRPr>
          </a:pPr>
          <a:endParaRPr b="0" baseline="0" cap="none" i="0" spc="32" strike="noStrike" sz="3200" u="none">
            <a:ln>
              <a:noFill/>
            </a:ln>
            <a:solidFill>
              <a:schemeClr val="accent4">
                <a:hueOff val="-56429"/>
                <a:satOff val="-3381"/>
                <a:lumOff val="-14918"/>
              </a:schemeClr>
            </a:solidFill>
            <a:uFillTx/>
            <a:latin typeface="+mn-lt"/>
            <a:ea typeface="+mn-ea"/>
            <a:cs typeface="+mn-cs"/>
            <a:sym typeface="Baskerville"/>
          </a:endParaRPr>
        </a:p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32" strike="noStrike" sz="3200" u="none">
              <a:ln>
                <a:noFill/>
              </a:ln>
              <a:solidFill>
                <a:schemeClr val="accent4">
                  <a:hueOff val="-56429"/>
                  <a:satOff val="-3381"/>
                  <a:lumOff val="-14918"/>
                </a:schemeClr>
              </a:solidFill>
              <a:uFillTx/>
              <a:latin typeface="+mn-lt"/>
              <a:ea typeface="+mn-ea"/>
              <a:cs typeface="+mn-cs"/>
              <a:sym typeface="Baskerville"/>
            </a:defRPr>
          </a:pPr>
          <a:endParaRPr b="0" baseline="0" cap="none" i="0" spc="32" strike="noStrike" sz="3200" u="none">
            <a:ln>
              <a:noFill/>
            </a:ln>
            <a:solidFill>
              <a:schemeClr val="accent4">
                <a:hueOff val="-56429"/>
                <a:satOff val="-3381"/>
                <a:lumOff val="-14918"/>
              </a:schemeClr>
            </a:solidFill>
            <a:uFillTx/>
            <a:latin typeface="+mn-lt"/>
            <a:ea typeface="+mn-ea"/>
            <a:cs typeface="+mn-cs"/>
            <a:sym typeface="Baskerville"/>
          </a:endParaRPr>
        </a:p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32" strike="noStrike" sz="3200" u="none">
              <a:ln>
                <a:noFill/>
              </a:ln>
              <a:solidFill>
                <a:schemeClr val="accent4">
                  <a:hueOff val="-56429"/>
                  <a:satOff val="-3381"/>
                  <a:lumOff val="-14918"/>
                </a:schemeClr>
              </a:solidFill>
              <a:uFillTx/>
              <a:latin typeface="+mn-lt"/>
              <a:ea typeface="+mn-ea"/>
              <a:cs typeface="+mn-cs"/>
              <a:sym typeface="Baskerville"/>
            </a:defRPr>
          </a:pPr>
          <a:endParaRPr b="0" baseline="0" cap="none" i="0" spc="32" strike="noStrike" sz="3200" u="none">
            <a:ln>
              <a:noFill/>
            </a:ln>
            <a:solidFill>
              <a:schemeClr val="accent4">
                <a:hueOff val="-56429"/>
                <a:satOff val="-3381"/>
                <a:lumOff val="-14918"/>
              </a:schemeClr>
            </a:solidFill>
            <a:uFillTx/>
            <a:latin typeface="+mn-lt"/>
            <a:ea typeface="+mn-ea"/>
            <a:cs typeface="+mn-cs"/>
            <a:sym typeface="Baskerville"/>
          </a:endParaRPr>
        </a:p>
      </xdr:txBody>
    </xdr:sp>
    <xdr:clientData/>
  </xdr:twoCellAnchor>
  <xdr:twoCellAnchor>
    <xdr:from>
      <xdr:col>0</xdr:col>
      <xdr:colOff>0</xdr:colOff>
      <xdr:row>0</xdr:row>
      <xdr:rowOff>596900</xdr:rowOff>
    </xdr:from>
    <xdr:to>
      <xdr:col>12</xdr:col>
      <xdr:colOff>190500</xdr:colOff>
      <xdr:row>0</xdr:row>
      <xdr:rowOff>596900</xdr:rowOff>
    </xdr:to>
    <xdr:sp>
      <xdr:nvSpPr>
        <xdr:cNvPr id="49" name="Shape 49"/>
        <xdr:cNvSpPr/>
      </xdr:nvSpPr>
      <xdr:spPr>
        <a:xfrm>
          <a:off x="0" y="596900"/>
          <a:ext cx="6858000" cy="1"/>
        </a:xfrm>
        <a:prstGeom prst="line">
          <a:avLst/>
        </a:prstGeom>
        <a:noFill/>
        <a:ln w="12700" cap="flat">
          <a:solidFill>
            <a:srgbClr val="AAAAAA"/>
          </a:solidFill>
          <a:custDash>
            <a:ds d="200000" sp="200000"/>
          </a:custDash>
          <a:miter lim="4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0</xdr:col>
      <xdr:colOff>0</xdr:colOff>
      <xdr:row>9</xdr:row>
      <xdr:rowOff>184467</xdr:rowOff>
    </xdr:from>
    <xdr:to>
      <xdr:col>7</xdr:col>
      <xdr:colOff>418281</xdr:colOff>
      <xdr:row>14</xdr:row>
      <xdr:rowOff>154622</xdr:rowOff>
    </xdr:to>
    <xdr:sp>
      <xdr:nvSpPr>
        <xdr:cNvPr id="50" name="Shape 50"/>
        <xdr:cNvSpPr txBox="1"/>
      </xdr:nvSpPr>
      <xdr:spPr>
        <a:xfrm>
          <a:off x="-19050" y="3771582"/>
          <a:ext cx="4037782" cy="1343661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50800" tIns="50800" rIns="50800" bIns="50800" numCol="1" anchor="t">
          <a:spAutoFit/>
        </a:bodyPr>
        <a:lstStyle/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1" baseline="0" cap="none" i="0" spc="0" strike="noStrike" sz="1200" u="none">
              <a:ln>
                <a:noFill/>
              </a:ln>
              <a:solidFill>
                <a:srgbClr val="444444"/>
              </a:solidFill>
              <a:uFillTx/>
              <a:latin typeface="Georgia"/>
              <a:ea typeface="Georgia"/>
              <a:cs typeface="Georgia"/>
              <a:sym typeface="Georgia"/>
            </a:defRPr>
          </a:pPr>
          <a:r>
            <a:rPr b="1" baseline="0" cap="none" i="0" spc="0" strike="noStrike" sz="1200" u="none">
              <a:ln>
                <a:noFill/>
              </a:ln>
              <a:solidFill>
                <a:srgbClr val="444444"/>
              </a:solidFill>
              <a:uFillTx/>
              <a:latin typeface="Georgia"/>
              <a:ea typeface="Georgia"/>
              <a:cs typeface="Georgia"/>
              <a:sym typeface="Georgia"/>
            </a:rPr>
            <a:t>Hommos 350 G</a:t>
          </a:r>
          <a:endParaRPr b="1" baseline="0" cap="none" i="0" spc="0" strike="noStrike" sz="1200" u="none">
            <a:ln>
              <a:noFill/>
            </a:ln>
            <a:solidFill>
              <a:srgbClr val="444444"/>
            </a:solidFill>
            <a:uFillTx/>
            <a:latin typeface="Georgia"/>
            <a:ea typeface="Georgia"/>
            <a:cs typeface="Georgia"/>
            <a:sym typeface="Georgia"/>
          </a:endParaRPr>
        </a:p>
        <a:p>
          <a:pPr marL="457200" marR="0" indent="-31750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 typeface="Georgia"/>
            <a:buChar char="•"/>
            <a:tabLst/>
            <a:defRPr b="1" baseline="0" cap="none" i="0" spc="0" strike="noStrike" sz="1200" u="none">
              <a:ln>
                <a:noFill/>
              </a:ln>
              <a:solidFill>
                <a:srgbClr val="444444"/>
              </a:solidFill>
              <a:uFillTx/>
              <a:latin typeface="Georgia"/>
              <a:ea typeface="Georgia"/>
              <a:cs typeface="Georgia"/>
              <a:sym typeface="Georgia"/>
            </a:defRPr>
          </a:pPr>
          <a:r>
            <a:rPr b="1" baseline="0" cap="none" i="0" spc="0" strike="noStrike" sz="1200" u="none">
              <a:ln>
                <a:noFill/>
              </a:ln>
              <a:solidFill>
                <a:srgbClr val="444444"/>
              </a:solidFill>
              <a:uFillTx/>
              <a:latin typeface="Georgia"/>
              <a:ea typeface="Georgia"/>
              <a:cs typeface="Georgia"/>
              <a:sym typeface="Georgia"/>
            </a:rPr>
            <a:t>250 g Chickpeas</a:t>
          </a:r>
          <a:endParaRPr b="1" baseline="0" cap="none" i="0" spc="0" strike="noStrike" sz="1200" u="none">
            <a:ln>
              <a:noFill/>
            </a:ln>
            <a:solidFill>
              <a:srgbClr val="444444"/>
            </a:solidFill>
            <a:uFillTx/>
            <a:latin typeface="Georgia"/>
            <a:ea typeface="Georgia"/>
            <a:cs typeface="Georgia"/>
            <a:sym typeface="Georgia"/>
          </a:endParaRPr>
        </a:p>
        <a:p>
          <a:pPr marL="457200" marR="0" indent="-31750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 typeface="Georgia"/>
            <a:buChar char="•"/>
            <a:tabLst/>
            <a:defRPr b="1" baseline="0" cap="none" i="0" spc="0" strike="noStrike" sz="1200" u="none">
              <a:ln>
                <a:noFill/>
              </a:ln>
              <a:solidFill>
                <a:srgbClr val="444444"/>
              </a:solidFill>
              <a:uFillTx/>
              <a:latin typeface="Georgia"/>
              <a:ea typeface="Georgia"/>
              <a:cs typeface="Georgia"/>
              <a:sym typeface="Georgia"/>
            </a:defRPr>
          </a:pPr>
          <a:r>
            <a:rPr b="1" baseline="0" cap="none" i="0" spc="0" strike="noStrike" sz="1200" u="none">
              <a:ln>
                <a:noFill/>
              </a:ln>
              <a:solidFill>
                <a:srgbClr val="444444"/>
              </a:solidFill>
              <a:uFillTx/>
              <a:latin typeface="Georgia"/>
              <a:ea typeface="Georgia"/>
              <a:cs typeface="Georgia"/>
              <a:sym typeface="Georgia"/>
            </a:rPr>
            <a:t>4 Tbsp Tahini</a:t>
          </a:r>
          <a:endParaRPr b="1" baseline="0" cap="none" i="0" spc="0" strike="noStrike" sz="1200" u="none">
            <a:ln>
              <a:noFill/>
            </a:ln>
            <a:solidFill>
              <a:srgbClr val="444444"/>
            </a:solidFill>
            <a:uFillTx/>
            <a:latin typeface="Georgia"/>
            <a:ea typeface="Georgia"/>
            <a:cs typeface="Georgia"/>
            <a:sym typeface="Georgia"/>
          </a:endParaRPr>
        </a:p>
        <a:p>
          <a:pPr marL="457200" marR="0" indent="-31750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 typeface="Georgia"/>
            <a:buChar char="•"/>
            <a:tabLst/>
            <a:defRPr b="1" baseline="0" cap="none" i="0" spc="0" strike="noStrike" sz="1200" u="none">
              <a:ln>
                <a:noFill/>
              </a:ln>
              <a:solidFill>
                <a:srgbClr val="444444"/>
              </a:solidFill>
              <a:uFillTx/>
              <a:latin typeface="Georgia"/>
              <a:ea typeface="Georgia"/>
              <a:cs typeface="Georgia"/>
              <a:sym typeface="Georgia"/>
            </a:defRPr>
          </a:pPr>
          <a:r>
            <a:rPr b="1" baseline="0" cap="none" i="0" spc="0" strike="noStrike" sz="1200" u="none">
              <a:ln>
                <a:noFill/>
              </a:ln>
              <a:solidFill>
                <a:srgbClr val="444444"/>
              </a:solidFill>
              <a:uFillTx/>
              <a:latin typeface="Georgia"/>
              <a:ea typeface="Georgia"/>
              <a:cs typeface="Georgia"/>
              <a:sym typeface="Georgia"/>
            </a:rPr>
            <a:t>1 tsp garlic</a:t>
          </a:r>
          <a:endParaRPr b="1" baseline="0" cap="none" i="0" spc="0" strike="noStrike" sz="1200" u="none">
            <a:ln>
              <a:noFill/>
            </a:ln>
            <a:solidFill>
              <a:srgbClr val="444444"/>
            </a:solidFill>
            <a:uFillTx/>
            <a:latin typeface="Georgia"/>
            <a:ea typeface="Georgia"/>
            <a:cs typeface="Georgia"/>
            <a:sym typeface="Georgia"/>
          </a:endParaRPr>
        </a:p>
        <a:p>
          <a:pPr marL="457200" marR="0" indent="-31750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 typeface="Georgia"/>
            <a:buChar char="•"/>
            <a:tabLst/>
            <a:defRPr b="1" baseline="0" cap="none" i="0" spc="0" strike="noStrike" sz="1200" u="none">
              <a:ln>
                <a:noFill/>
              </a:ln>
              <a:solidFill>
                <a:srgbClr val="444444"/>
              </a:solidFill>
              <a:uFillTx/>
              <a:latin typeface="Georgia"/>
              <a:ea typeface="Georgia"/>
              <a:cs typeface="Georgia"/>
              <a:sym typeface="Georgia"/>
            </a:defRPr>
          </a:pPr>
          <a:r>
            <a:rPr b="1" baseline="0" cap="none" i="0" spc="0" strike="noStrike" sz="1200" u="none">
              <a:ln>
                <a:noFill/>
              </a:ln>
              <a:solidFill>
                <a:srgbClr val="444444"/>
              </a:solidFill>
              <a:uFillTx/>
              <a:latin typeface="Georgia"/>
              <a:ea typeface="Georgia"/>
              <a:cs typeface="Georgia"/>
              <a:sym typeface="Georgia"/>
            </a:rPr>
            <a:t>2 tbsp lemon juice</a:t>
          </a:r>
          <a:endParaRPr b="1" baseline="0" cap="none" i="0" spc="0" strike="noStrike" sz="1200" u="none">
            <a:ln>
              <a:noFill/>
            </a:ln>
            <a:solidFill>
              <a:srgbClr val="444444"/>
            </a:solidFill>
            <a:uFillTx/>
            <a:latin typeface="Georgia"/>
            <a:ea typeface="Georgia"/>
            <a:cs typeface="Georgia"/>
            <a:sym typeface="Georgia"/>
          </a:endParaRPr>
        </a:p>
      </xdr:txBody>
    </xdr:sp>
    <xdr:clientData/>
  </xdr:twoCellAnchor>
  <xdr:twoCellAnchor>
    <xdr:from>
      <xdr:col>7</xdr:col>
      <xdr:colOff>589657</xdr:colOff>
      <xdr:row>9</xdr:row>
      <xdr:rowOff>144462</xdr:rowOff>
    </xdr:from>
    <xdr:to>
      <xdr:col>15</xdr:col>
      <xdr:colOff>436438</xdr:colOff>
      <xdr:row>16</xdr:row>
      <xdr:rowOff>188277</xdr:rowOff>
    </xdr:to>
    <xdr:sp>
      <xdr:nvSpPr>
        <xdr:cNvPr id="51" name="Shape 51"/>
        <xdr:cNvSpPr txBox="1"/>
      </xdr:nvSpPr>
      <xdr:spPr>
        <a:xfrm>
          <a:off x="4209157" y="3731577"/>
          <a:ext cx="4037782" cy="1957071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50800" tIns="50800" rIns="50800" bIns="50800" numCol="1" anchor="t">
          <a:spAutoFit/>
        </a:bodyPr>
        <a:lstStyle/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1" baseline="0" cap="none" i="0" spc="0" strike="noStrike" sz="1200" u="none">
              <a:ln>
                <a:noFill/>
              </a:ln>
              <a:solidFill>
                <a:srgbClr val="444444"/>
              </a:solidFill>
              <a:uFillTx/>
              <a:latin typeface="Georgia"/>
              <a:ea typeface="Georgia"/>
              <a:cs typeface="Georgia"/>
              <a:sym typeface="Georgia"/>
            </a:defRPr>
          </a:pPr>
          <a:r>
            <a:rPr b="1" baseline="0" cap="none" i="0" spc="0" strike="noStrike" sz="1200" u="none">
              <a:ln>
                <a:noFill/>
              </a:ln>
              <a:solidFill>
                <a:srgbClr val="444444"/>
              </a:solidFill>
              <a:uFillTx/>
              <a:latin typeface="Georgia"/>
              <a:ea typeface="Georgia"/>
              <a:cs typeface="Georgia"/>
              <a:sym typeface="Georgia"/>
            </a:rPr>
            <a:t>Tahini Sauce</a:t>
          </a:r>
          <a:endParaRPr b="1" baseline="0" cap="none" i="0" spc="0" strike="noStrike" sz="1200" u="none">
            <a:ln>
              <a:noFill/>
            </a:ln>
            <a:solidFill>
              <a:srgbClr val="444444"/>
            </a:solidFill>
            <a:uFillTx/>
            <a:latin typeface="Georgia"/>
            <a:ea typeface="Georgia"/>
            <a:cs typeface="Georgia"/>
            <a:sym typeface="Georgia"/>
          </a:endParaRPr>
        </a:p>
        <a:p>
          <a:pPr marL="457200" marR="0" indent="-31750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 typeface="Georgia"/>
            <a:buChar char="•"/>
            <a:tabLst/>
            <a:defRPr b="1" baseline="0" cap="none" i="0" spc="0" strike="noStrike" sz="1200" u="none">
              <a:ln>
                <a:noFill/>
              </a:ln>
              <a:solidFill>
                <a:srgbClr val="444444"/>
              </a:solidFill>
              <a:uFillTx/>
              <a:latin typeface="Georgia"/>
              <a:ea typeface="Georgia"/>
              <a:cs typeface="Georgia"/>
              <a:sym typeface="Georgia"/>
            </a:defRPr>
          </a:pPr>
          <a:r>
            <a:rPr b="1" baseline="0" cap="none" i="0" spc="0" strike="noStrike" sz="1200" u="none">
              <a:ln>
                <a:noFill/>
              </a:ln>
              <a:solidFill>
                <a:srgbClr val="444444"/>
              </a:solidFill>
              <a:uFillTx/>
              <a:latin typeface="Georgia"/>
              <a:ea typeface="Georgia"/>
              <a:cs typeface="Georgia"/>
              <a:sym typeface="Georgia"/>
            </a:rPr>
            <a:t>5 Tbsp Tahini</a:t>
          </a:r>
          <a:endParaRPr b="1" baseline="0" cap="none" i="0" spc="0" strike="noStrike" sz="1200" u="none">
            <a:ln>
              <a:noFill/>
            </a:ln>
            <a:solidFill>
              <a:srgbClr val="444444"/>
            </a:solidFill>
            <a:uFillTx/>
            <a:latin typeface="Georgia"/>
            <a:ea typeface="Georgia"/>
            <a:cs typeface="Georgia"/>
            <a:sym typeface="Georgia"/>
          </a:endParaRPr>
        </a:p>
        <a:p>
          <a:pPr marL="457200" marR="0" indent="-31750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 typeface="Georgia"/>
            <a:buChar char="•"/>
            <a:tabLst/>
            <a:defRPr b="1" baseline="0" cap="none" i="0" spc="0" strike="noStrike" sz="1200" u="none">
              <a:ln>
                <a:noFill/>
              </a:ln>
              <a:solidFill>
                <a:srgbClr val="444444"/>
              </a:solidFill>
              <a:uFillTx/>
              <a:latin typeface="Georgia"/>
              <a:ea typeface="Georgia"/>
              <a:cs typeface="Georgia"/>
              <a:sym typeface="Georgia"/>
            </a:defRPr>
          </a:pPr>
          <a:r>
            <a:rPr b="1" baseline="0" cap="none" i="0" spc="0" strike="noStrike" sz="1200" u="none">
              <a:ln>
                <a:noFill/>
              </a:ln>
              <a:solidFill>
                <a:srgbClr val="444444"/>
              </a:solidFill>
              <a:uFillTx/>
              <a:latin typeface="Georgia"/>
              <a:ea typeface="Georgia"/>
              <a:cs typeface="Georgia"/>
              <a:sym typeface="Georgia"/>
            </a:rPr>
            <a:t>4 Tbsp lemon juice</a:t>
          </a:r>
          <a:endParaRPr b="1" baseline="0" cap="none" i="0" spc="0" strike="noStrike" sz="1200" u="none">
            <a:ln>
              <a:noFill/>
            </a:ln>
            <a:solidFill>
              <a:srgbClr val="444444"/>
            </a:solidFill>
            <a:uFillTx/>
            <a:latin typeface="Georgia"/>
            <a:ea typeface="Georgia"/>
            <a:cs typeface="Georgia"/>
            <a:sym typeface="Georgia"/>
          </a:endParaRPr>
        </a:p>
        <a:p>
          <a:pPr marL="457200" marR="0" indent="-31750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 typeface="Georgia"/>
            <a:buChar char="•"/>
            <a:tabLst/>
            <a:defRPr b="1" baseline="0" cap="none" i="0" spc="0" strike="noStrike" sz="1200" u="none">
              <a:ln>
                <a:noFill/>
              </a:ln>
              <a:solidFill>
                <a:srgbClr val="444444"/>
              </a:solidFill>
              <a:uFillTx/>
              <a:latin typeface="Georgia"/>
              <a:ea typeface="Georgia"/>
              <a:cs typeface="Georgia"/>
              <a:sym typeface="Georgia"/>
            </a:defRPr>
          </a:pPr>
          <a:r>
            <a:rPr b="1" baseline="0" cap="none" i="0" spc="0" strike="noStrike" sz="1200" u="none">
              <a:ln>
                <a:noFill/>
              </a:ln>
              <a:solidFill>
                <a:srgbClr val="444444"/>
              </a:solidFill>
              <a:uFillTx/>
              <a:latin typeface="Georgia"/>
              <a:ea typeface="Georgia"/>
              <a:cs typeface="Georgia"/>
              <a:sym typeface="Georgia"/>
            </a:rPr>
            <a:t>3 water</a:t>
          </a:r>
          <a:endParaRPr b="1" baseline="0" cap="none" i="0" spc="0" strike="noStrike" sz="1200" u="none">
            <a:ln>
              <a:noFill/>
            </a:ln>
            <a:solidFill>
              <a:srgbClr val="444444"/>
            </a:solidFill>
            <a:uFillTx/>
            <a:latin typeface="Georgia"/>
            <a:ea typeface="Georgia"/>
            <a:cs typeface="Georgia"/>
            <a:sym typeface="Georgia"/>
          </a:endParaRPr>
        </a:p>
        <a:p>
          <a:pPr marL="457200" marR="0" indent="-31750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 typeface="Georgia"/>
            <a:buChar char="•"/>
            <a:tabLst/>
            <a:defRPr b="1" baseline="0" cap="none" i="0" spc="0" strike="noStrike" sz="1200" u="none">
              <a:ln>
                <a:noFill/>
              </a:ln>
              <a:solidFill>
                <a:srgbClr val="444444"/>
              </a:solidFill>
              <a:uFillTx/>
              <a:latin typeface="Georgia"/>
              <a:ea typeface="Georgia"/>
              <a:cs typeface="Georgia"/>
              <a:sym typeface="Georgia"/>
            </a:defRPr>
          </a:pPr>
          <a:r>
            <a:rPr b="1" baseline="0" cap="none" i="0" spc="0" strike="noStrike" sz="1200" u="none">
              <a:ln>
                <a:noFill/>
              </a:ln>
              <a:solidFill>
                <a:srgbClr val="444444"/>
              </a:solidFill>
              <a:uFillTx/>
              <a:latin typeface="Georgia"/>
              <a:ea typeface="Georgia"/>
              <a:cs typeface="Georgia"/>
              <a:sym typeface="Georgia"/>
            </a:rPr>
            <a:t>Salt 1/2 tsp</a:t>
          </a:r>
          <a:endParaRPr b="1" baseline="0" cap="none" i="0" spc="0" strike="noStrike" sz="1200" u="none">
            <a:ln>
              <a:noFill/>
            </a:ln>
            <a:solidFill>
              <a:srgbClr val="444444"/>
            </a:solidFill>
            <a:uFillTx/>
            <a:latin typeface="Georgia"/>
            <a:ea typeface="Georgia"/>
            <a:cs typeface="Georgia"/>
            <a:sym typeface="Georgia"/>
          </a:endParaRPr>
        </a:p>
        <a:p>
          <a:pPr marL="457200" marR="0" indent="-31750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 typeface="Georgia"/>
            <a:buChar char="•"/>
            <a:tabLst/>
            <a:defRPr b="1" baseline="0" cap="none" i="0" spc="0" strike="noStrike" sz="1200" u="none">
              <a:ln>
                <a:noFill/>
              </a:ln>
              <a:solidFill>
                <a:srgbClr val="444444"/>
              </a:solidFill>
              <a:uFillTx/>
              <a:latin typeface="Georgia"/>
              <a:ea typeface="Georgia"/>
              <a:cs typeface="Georgia"/>
              <a:sym typeface="Georgia"/>
            </a:defRPr>
          </a:pPr>
          <a:r>
            <a:rPr b="1" baseline="0" cap="none" i="0" spc="0" strike="noStrike" sz="1200" u="none">
              <a:ln>
                <a:noFill/>
              </a:ln>
              <a:solidFill>
                <a:srgbClr val="444444"/>
              </a:solidFill>
              <a:uFillTx/>
              <a:latin typeface="Georgia"/>
              <a:ea typeface="Georgia"/>
              <a:cs typeface="Georgia"/>
              <a:sym typeface="Georgia"/>
            </a:rPr>
            <a:t>Paprika 1 tsp</a:t>
          </a:r>
          <a:endParaRPr b="1" baseline="0" cap="none" i="0" spc="0" strike="noStrike" sz="1200" u="none">
            <a:ln>
              <a:noFill/>
            </a:ln>
            <a:solidFill>
              <a:srgbClr val="444444"/>
            </a:solidFill>
            <a:uFillTx/>
            <a:latin typeface="Georgia"/>
            <a:ea typeface="Georgia"/>
            <a:cs typeface="Georgia"/>
            <a:sym typeface="Georgia"/>
          </a:endParaRPr>
        </a:p>
        <a:p>
          <a:pPr marL="457200" marR="0" indent="-31750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 typeface="Georgia"/>
            <a:buChar char="•"/>
            <a:tabLst/>
            <a:defRPr b="1" baseline="0" cap="none" i="0" spc="0" strike="noStrike" sz="1200" u="none">
              <a:ln>
                <a:noFill/>
              </a:ln>
              <a:solidFill>
                <a:srgbClr val="444444"/>
              </a:solidFill>
              <a:uFillTx/>
              <a:latin typeface="Georgia"/>
              <a:ea typeface="Georgia"/>
              <a:cs typeface="Georgia"/>
              <a:sym typeface="Georgia"/>
            </a:defRPr>
          </a:pPr>
          <a:r>
            <a:rPr b="1" baseline="0" cap="none" i="0" spc="0" strike="noStrike" sz="1200" u="none">
              <a:ln>
                <a:noFill/>
              </a:ln>
              <a:solidFill>
                <a:srgbClr val="444444"/>
              </a:solidFill>
              <a:uFillTx/>
              <a:latin typeface="Georgia"/>
              <a:ea typeface="Georgia"/>
              <a:cs typeface="Georgia"/>
              <a:sym typeface="Georgia"/>
            </a:rPr>
            <a:t>Red pepper 1/2 tsp</a:t>
          </a:r>
          <a:endParaRPr b="1" baseline="0" cap="none" i="0" spc="0" strike="noStrike" sz="1200" u="none">
            <a:ln>
              <a:noFill/>
            </a:ln>
            <a:solidFill>
              <a:srgbClr val="444444"/>
            </a:solidFill>
            <a:uFillTx/>
            <a:latin typeface="Georgia"/>
            <a:ea typeface="Georgia"/>
            <a:cs typeface="Georgia"/>
            <a:sym typeface="Georgia"/>
          </a:endParaRPr>
        </a:p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1" baseline="0" cap="none" i="0" spc="0" strike="noStrike" sz="1200" u="none">
              <a:ln>
                <a:noFill/>
              </a:ln>
              <a:solidFill>
                <a:srgbClr val="444444"/>
              </a:solidFill>
              <a:uFillTx/>
              <a:latin typeface="Georgia"/>
              <a:ea typeface="Georgia"/>
              <a:cs typeface="Georgia"/>
              <a:sym typeface="Georgia"/>
            </a:defRPr>
          </a:pPr>
          <a:endParaRPr b="1" baseline="0" cap="none" i="0" spc="0" strike="noStrike" sz="1200" u="none">
            <a:ln>
              <a:noFill/>
            </a:ln>
            <a:solidFill>
              <a:srgbClr val="444444"/>
            </a:solidFill>
            <a:uFillTx/>
            <a:latin typeface="Georgia"/>
            <a:ea typeface="Georgia"/>
            <a:cs typeface="Georgia"/>
            <a:sym typeface="Georgia"/>
          </a:endParaRPr>
        </a:p>
      </xdr:txBody>
    </xdr:sp>
    <xdr:clientData/>
  </xdr:twoCellAnchor>
  <xdr:twoCellAnchor>
    <xdr:from>
      <xdr:col>7</xdr:col>
      <xdr:colOff>684498</xdr:colOff>
      <xdr:row>0</xdr:row>
      <xdr:rowOff>898525</xdr:rowOff>
    </xdr:from>
    <xdr:to>
      <xdr:col>11</xdr:col>
      <xdr:colOff>312614</xdr:colOff>
      <xdr:row>0</xdr:row>
      <xdr:rowOff>1336675</xdr:rowOff>
    </xdr:to>
    <xdr:sp>
      <xdr:nvSpPr>
        <xdr:cNvPr id="52" name="Shape 52"/>
        <xdr:cNvSpPr txBox="1"/>
      </xdr:nvSpPr>
      <xdr:spPr>
        <a:xfrm>
          <a:off x="4303998" y="898524"/>
          <a:ext cx="2104617" cy="438151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none" lIns="50800" tIns="50800" rIns="50800" bIns="50800" numCol="1" anchor="t">
          <a:spAutoFit/>
        </a:bodyPr>
        <a:lstStyle/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1" baseline="0" cap="none" i="0" spc="19" strike="noStrike" sz="1900" u="none">
              <a:ln>
                <a:noFill/>
              </a:ln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Baskerville"/>
            </a:defRPr>
          </a:pPr>
          <a:r>
            <a:rPr b="1" baseline="0" cap="none" i="0" spc="19" strike="noStrike" sz="1900" u="none">
              <a:ln>
                <a:noFill/>
              </a:ln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Baskerville"/>
            </a:rPr>
            <a:t>Tahini Tartelette</a:t>
          </a:r>
        </a:p>
      </xdr:txBody>
    </xdr:sp>
    <xdr:clientData/>
  </xdr:twoCellAnchor>
</xdr:wsDr>
</file>

<file path=xl/drawings/drawing17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0</xdr:colOff>
      <xdr:row>0</xdr:row>
      <xdr:rowOff>0</xdr:rowOff>
    </xdr:from>
    <xdr:to>
      <xdr:col>9</xdr:col>
      <xdr:colOff>525033</xdr:colOff>
      <xdr:row>39</xdr:row>
      <xdr:rowOff>45720</xdr:rowOff>
    </xdr:to>
    <xdr:sp>
      <xdr:nvSpPr>
        <xdr:cNvPr id="54" name="Shape 54"/>
        <xdr:cNvSpPr txBox="1"/>
      </xdr:nvSpPr>
      <xdr:spPr>
        <a:xfrm>
          <a:off x="-19050" y="-422910"/>
          <a:ext cx="6240034" cy="6484620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none" lIns="0" tIns="0" rIns="0" bIns="0" numCol="1" anchor="t">
          <a:spAutoFit/>
        </a:bodyPr>
        <a:lstStyle/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32" strike="noStrike" sz="3200" u="none">
              <a:ln>
                <a:noFill/>
              </a:ln>
              <a:solidFill>
                <a:schemeClr val="accent4">
                  <a:hueOff val="-56429"/>
                  <a:satOff val="-3381"/>
                  <a:lumOff val="-14918"/>
                </a:schemeClr>
              </a:solidFill>
              <a:uFillTx/>
              <a:latin typeface="+mn-lt"/>
              <a:ea typeface="+mn-ea"/>
              <a:cs typeface="+mn-cs"/>
              <a:sym typeface="Baskerville"/>
            </a:defRPr>
          </a:pPr>
          <a:r>
            <a:rPr b="0" baseline="0" cap="none" i="0" spc="32" strike="noStrike" sz="3200" u="none">
              <a:ln>
                <a:noFill/>
              </a:ln>
              <a:solidFill>
                <a:schemeClr val="accent4">
                  <a:hueOff val="-56429"/>
                  <a:satOff val="-3381"/>
                  <a:lumOff val="-14918"/>
                </a:schemeClr>
              </a:solidFill>
              <a:uFillTx/>
              <a:latin typeface="+mn-lt"/>
              <a:ea typeface="+mn-ea"/>
              <a:cs typeface="+mn-cs"/>
              <a:sym typeface="Baskerville"/>
            </a:rPr>
            <a:t>Other Main Menu outsourced Items</a:t>
          </a:r>
          <a:endParaRPr b="0" baseline="0" cap="none" i="0" spc="32" strike="noStrike" sz="3200" u="none">
            <a:ln>
              <a:noFill/>
            </a:ln>
            <a:solidFill>
              <a:schemeClr val="accent4">
                <a:hueOff val="-56429"/>
                <a:satOff val="-3381"/>
                <a:lumOff val="-14918"/>
              </a:schemeClr>
            </a:solidFill>
            <a:uFillTx/>
            <a:latin typeface="+mn-lt"/>
            <a:ea typeface="+mn-ea"/>
            <a:cs typeface="+mn-cs"/>
            <a:sym typeface="Baskerville"/>
          </a:endParaRPr>
        </a:p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32" strike="noStrike" sz="3200" u="none">
              <a:ln>
                <a:noFill/>
              </a:ln>
              <a:solidFill>
                <a:schemeClr val="accent4">
                  <a:hueOff val="-56429"/>
                  <a:satOff val="-3381"/>
                  <a:lumOff val="-14918"/>
                </a:schemeClr>
              </a:solidFill>
              <a:uFillTx/>
              <a:latin typeface="+mn-lt"/>
              <a:ea typeface="+mn-ea"/>
              <a:cs typeface="+mn-cs"/>
              <a:sym typeface="Baskerville"/>
            </a:defRPr>
          </a:pPr>
          <a:endParaRPr b="0" baseline="0" cap="none" i="0" spc="32" strike="noStrike" sz="3200" u="none">
            <a:ln>
              <a:noFill/>
            </a:ln>
            <a:solidFill>
              <a:schemeClr val="accent4">
                <a:hueOff val="-56429"/>
                <a:satOff val="-3381"/>
                <a:lumOff val="-14918"/>
              </a:schemeClr>
            </a:solidFill>
            <a:uFillTx/>
            <a:latin typeface="+mn-lt"/>
            <a:ea typeface="+mn-ea"/>
            <a:cs typeface="+mn-cs"/>
            <a:sym typeface="Baskerville"/>
          </a:endParaRPr>
        </a:p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32" strike="noStrike" sz="3200" u="none">
              <a:ln>
                <a:noFill/>
              </a:ln>
              <a:solidFill>
                <a:schemeClr val="accent4">
                  <a:hueOff val="-56429"/>
                  <a:satOff val="-3381"/>
                  <a:lumOff val="-14918"/>
                </a:schemeClr>
              </a:solidFill>
              <a:uFillTx/>
              <a:latin typeface="+mn-lt"/>
              <a:ea typeface="+mn-ea"/>
              <a:cs typeface="+mn-cs"/>
              <a:sym typeface="Baskerville"/>
            </a:defRPr>
          </a:pPr>
          <a:endParaRPr b="0" baseline="0" cap="none" i="0" spc="32" strike="noStrike" sz="3200" u="none">
            <a:ln>
              <a:noFill/>
            </a:ln>
            <a:solidFill>
              <a:schemeClr val="accent4">
                <a:hueOff val="-56429"/>
                <a:satOff val="-3381"/>
                <a:lumOff val="-14918"/>
              </a:schemeClr>
            </a:solidFill>
            <a:uFillTx/>
            <a:latin typeface="+mn-lt"/>
            <a:ea typeface="+mn-ea"/>
            <a:cs typeface="+mn-cs"/>
            <a:sym typeface="Baskerville"/>
          </a:endParaRPr>
        </a:p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32" strike="noStrike" sz="3200" u="none">
              <a:ln>
                <a:noFill/>
              </a:ln>
              <a:solidFill>
                <a:schemeClr val="accent4">
                  <a:hueOff val="-56429"/>
                  <a:satOff val="-3381"/>
                  <a:lumOff val="-14918"/>
                </a:schemeClr>
              </a:solidFill>
              <a:uFillTx/>
              <a:latin typeface="+mn-lt"/>
              <a:ea typeface="+mn-ea"/>
              <a:cs typeface="+mn-cs"/>
              <a:sym typeface="Baskerville"/>
            </a:defRPr>
          </a:pPr>
          <a:endParaRPr b="0" baseline="0" cap="none" i="0" spc="32" strike="noStrike" sz="3200" u="none">
            <a:ln>
              <a:noFill/>
            </a:ln>
            <a:solidFill>
              <a:schemeClr val="accent4">
                <a:hueOff val="-56429"/>
                <a:satOff val="-3381"/>
                <a:lumOff val="-14918"/>
              </a:schemeClr>
            </a:solidFill>
            <a:uFillTx/>
            <a:latin typeface="+mn-lt"/>
            <a:ea typeface="+mn-ea"/>
            <a:cs typeface="+mn-cs"/>
            <a:sym typeface="Baskerville"/>
          </a:endParaRPr>
        </a:p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32" strike="noStrike" sz="3200" u="none">
              <a:ln>
                <a:noFill/>
              </a:ln>
              <a:solidFill>
                <a:schemeClr val="accent4">
                  <a:hueOff val="-56429"/>
                  <a:satOff val="-3381"/>
                  <a:lumOff val="-14918"/>
                </a:schemeClr>
              </a:solidFill>
              <a:uFillTx/>
              <a:latin typeface="+mn-lt"/>
              <a:ea typeface="+mn-ea"/>
              <a:cs typeface="+mn-cs"/>
              <a:sym typeface="Baskerville"/>
            </a:defRPr>
          </a:pPr>
          <a:endParaRPr b="0" baseline="0" cap="none" i="0" spc="32" strike="noStrike" sz="3200" u="none">
            <a:ln>
              <a:noFill/>
            </a:ln>
            <a:solidFill>
              <a:schemeClr val="accent4">
                <a:hueOff val="-56429"/>
                <a:satOff val="-3381"/>
                <a:lumOff val="-14918"/>
              </a:schemeClr>
            </a:solidFill>
            <a:uFillTx/>
            <a:latin typeface="+mn-lt"/>
            <a:ea typeface="+mn-ea"/>
            <a:cs typeface="+mn-cs"/>
            <a:sym typeface="Baskerville"/>
          </a:endParaRPr>
        </a:p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32" strike="noStrike" sz="3200" u="none">
              <a:ln>
                <a:noFill/>
              </a:ln>
              <a:solidFill>
                <a:schemeClr val="accent4">
                  <a:hueOff val="-56429"/>
                  <a:satOff val="-3381"/>
                  <a:lumOff val="-14918"/>
                </a:schemeClr>
              </a:solidFill>
              <a:uFillTx/>
              <a:latin typeface="+mn-lt"/>
              <a:ea typeface="+mn-ea"/>
              <a:cs typeface="+mn-cs"/>
              <a:sym typeface="Baskerville"/>
            </a:defRPr>
          </a:pPr>
          <a:endParaRPr b="0" baseline="0" cap="none" i="0" spc="32" strike="noStrike" sz="3200" u="none">
            <a:ln>
              <a:noFill/>
            </a:ln>
            <a:solidFill>
              <a:schemeClr val="accent4">
                <a:hueOff val="-56429"/>
                <a:satOff val="-3381"/>
                <a:lumOff val="-14918"/>
              </a:schemeClr>
            </a:solidFill>
            <a:uFillTx/>
            <a:latin typeface="+mn-lt"/>
            <a:ea typeface="+mn-ea"/>
            <a:cs typeface="+mn-cs"/>
            <a:sym typeface="Baskerville"/>
          </a:endParaRPr>
        </a:p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32" strike="noStrike" sz="3200" u="none">
              <a:ln>
                <a:noFill/>
              </a:ln>
              <a:solidFill>
                <a:schemeClr val="accent4">
                  <a:hueOff val="-56429"/>
                  <a:satOff val="-3381"/>
                  <a:lumOff val="-14918"/>
                </a:schemeClr>
              </a:solidFill>
              <a:uFillTx/>
              <a:latin typeface="+mn-lt"/>
              <a:ea typeface="+mn-ea"/>
              <a:cs typeface="+mn-cs"/>
              <a:sym typeface="Baskerville"/>
            </a:defRPr>
          </a:pPr>
          <a:endParaRPr b="0" baseline="0" cap="none" i="0" spc="32" strike="noStrike" sz="3200" u="none">
            <a:ln>
              <a:noFill/>
            </a:ln>
            <a:solidFill>
              <a:schemeClr val="accent4">
                <a:hueOff val="-56429"/>
                <a:satOff val="-3381"/>
                <a:lumOff val="-14918"/>
              </a:schemeClr>
            </a:solidFill>
            <a:uFillTx/>
            <a:latin typeface="+mn-lt"/>
            <a:ea typeface="+mn-ea"/>
            <a:cs typeface="+mn-cs"/>
            <a:sym typeface="Baskerville"/>
          </a:endParaRPr>
        </a:p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32" strike="noStrike" sz="3200" u="none">
              <a:ln>
                <a:noFill/>
              </a:ln>
              <a:solidFill>
                <a:schemeClr val="accent4">
                  <a:hueOff val="-56429"/>
                  <a:satOff val="-3381"/>
                  <a:lumOff val="-14918"/>
                </a:schemeClr>
              </a:solidFill>
              <a:uFillTx/>
              <a:latin typeface="+mn-lt"/>
              <a:ea typeface="+mn-ea"/>
              <a:cs typeface="+mn-cs"/>
              <a:sym typeface="Baskerville"/>
            </a:defRPr>
          </a:pPr>
          <a:endParaRPr b="0" baseline="0" cap="none" i="0" spc="32" strike="noStrike" sz="3200" u="none">
            <a:ln>
              <a:noFill/>
            </a:ln>
            <a:solidFill>
              <a:schemeClr val="accent4">
                <a:hueOff val="-56429"/>
                <a:satOff val="-3381"/>
                <a:lumOff val="-14918"/>
              </a:schemeClr>
            </a:solidFill>
            <a:uFillTx/>
            <a:latin typeface="+mn-lt"/>
            <a:ea typeface="+mn-ea"/>
            <a:cs typeface="+mn-cs"/>
            <a:sym typeface="Baskerville"/>
          </a:endParaRPr>
        </a:p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32" strike="noStrike" sz="3200" u="none">
              <a:ln>
                <a:noFill/>
              </a:ln>
              <a:solidFill>
                <a:schemeClr val="accent4">
                  <a:hueOff val="-56429"/>
                  <a:satOff val="-3381"/>
                  <a:lumOff val="-14918"/>
                </a:schemeClr>
              </a:solidFill>
              <a:uFillTx/>
              <a:latin typeface="+mn-lt"/>
              <a:ea typeface="+mn-ea"/>
              <a:cs typeface="+mn-cs"/>
              <a:sym typeface="Baskerville"/>
            </a:defRPr>
          </a:pPr>
          <a:endParaRPr b="0" baseline="0" cap="none" i="0" spc="32" strike="noStrike" sz="3200" u="none">
            <a:ln>
              <a:noFill/>
            </a:ln>
            <a:solidFill>
              <a:schemeClr val="accent4">
                <a:hueOff val="-56429"/>
                <a:satOff val="-3381"/>
                <a:lumOff val="-14918"/>
              </a:schemeClr>
            </a:solidFill>
            <a:uFillTx/>
            <a:latin typeface="+mn-lt"/>
            <a:ea typeface="+mn-ea"/>
            <a:cs typeface="+mn-cs"/>
            <a:sym typeface="Baskerville"/>
          </a:endParaRPr>
        </a:p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32" strike="noStrike" sz="3200" u="none">
              <a:ln>
                <a:noFill/>
              </a:ln>
              <a:solidFill>
                <a:schemeClr val="accent4">
                  <a:hueOff val="-56429"/>
                  <a:satOff val="-3381"/>
                  <a:lumOff val="-14918"/>
                </a:schemeClr>
              </a:solidFill>
              <a:uFillTx/>
              <a:latin typeface="+mn-lt"/>
              <a:ea typeface="+mn-ea"/>
              <a:cs typeface="+mn-cs"/>
              <a:sym typeface="Baskerville"/>
            </a:defRPr>
          </a:pPr>
          <a:endParaRPr b="0" baseline="0" cap="none" i="0" spc="32" strike="noStrike" sz="3200" u="none">
            <a:ln>
              <a:noFill/>
            </a:ln>
            <a:solidFill>
              <a:schemeClr val="accent4">
                <a:hueOff val="-56429"/>
                <a:satOff val="-3381"/>
                <a:lumOff val="-14918"/>
              </a:schemeClr>
            </a:solidFill>
            <a:uFillTx/>
            <a:latin typeface="+mn-lt"/>
            <a:ea typeface="+mn-ea"/>
            <a:cs typeface="+mn-cs"/>
            <a:sym typeface="Baskerville"/>
          </a:endParaRPr>
        </a:p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0" baseline="0" cap="none" i="0" spc="32" strike="noStrike" sz="3200" u="none">
              <a:ln>
                <a:noFill/>
              </a:ln>
              <a:solidFill>
                <a:schemeClr val="accent4">
                  <a:hueOff val="-56429"/>
                  <a:satOff val="-3381"/>
                  <a:lumOff val="-14918"/>
                </a:schemeClr>
              </a:solidFill>
              <a:uFillTx/>
              <a:latin typeface="+mn-lt"/>
              <a:ea typeface="+mn-ea"/>
              <a:cs typeface="+mn-cs"/>
              <a:sym typeface="Baskerville"/>
            </a:defRPr>
          </a:pPr>
          <a:endParaRPr b="0" baseline="0" cap="none" i="0" spc="32" strike="noStrike" sz="3200" u="none">
            <a:ln>
              <a:noFill/>
            </a:ln>
            <a:solidFill>
              <a:schemeClr val="accent4">
                <a:hueOff val="-56429"/>
                <a:satOff val="-3381"/>
                <a:lumOff val="-14918"/>
              </a:schemeClr>
            </a:solidFill>
            <a:uFillTx/>
            <a:latin typeface="+mn-lt"/>
            <a:ea typeface="+mn-ea"/>
            <a:cs typeface="+mn-cs"/>
            <a:sym typeface="Baskerville"/>
          </a:endParaRPr>
        </a:p>
      </xdr:txBody>
    </xdr:sp>
    <xdr:clientData/>
  </xdr:twoCellAnchor>
  <xdr:twoCellAnchor>
    <xdr:from>
      <xdr:col>0</xdr:col>
      <xdr:colOff>0</xdr:colOff>
      <xdr:row>3</xdr:row>
      <xdr:rowOff>101600</xdr:rowOff>
    </xdr:from>
    <xdr:to>
      <xdr:col>10</xdr:col>
      <xdr:colOff>508000</xdr:colOff>
      <xdr:row>3</xdr:row>
      <xdr:rowOff>101600</xdr:rowOff>
    </xdr:to>
    <xdr:sp>
      <xdr:nvSpPr>
        <xdr:cNvPr id="55" name="Shape 55"/>
        <xdr:cNvSpPr/>
      </xdr:nvSpPr>
      <xdr:spPr>
        <a:xfrm>
          <a:off x="0" y="596900"/>
          <a:ext cx="6858000" cy="1"/>
        </a:xfrm>
        <a:prstGeom prst="line">
          <a:avLst/>
        </a:prstGeom>
        <a:noFill/>
        <a:ln w="12700" cap="flat">
          <a:solidFill>
            <a:srgbClr val="AAAAAA"/>
          </a:solidFill>
          <a:custDash>
            <a:ds d="200000" sp="200000"/>
          </a:custDash>
          <a:miter lim="4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0</xdr:col>
      <xdr:colOff>0</xdr:colOff>
      <xdr:row>3</xdr:row>
      <xdr:rowOff>123824</xdr:rowOff>
    </xdr:from>
    <xdr:to>
      <xdr:col>6</xdr:col>
      <xdr:colOff>227781</xdr:colOff>
      <xdr:row>16</xdr:row>
      <xdr:rowOff>139064</xdr:rowOff>
    </xdr:to>
    <xdr:sp>
      <xdr:nvSpPr>
        <xdr:cNvPr id="56" name="Shape 56"/>
        <xdr:cNvSpPr txBox="1"/>
      </xdr:nvSpPr>
      <xdr:spPr>
        <a:xfrm>
          <a:off x="-19051" y="619124"/>
          <a:ext cx="4037783" cy="2161541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50800" tIns="50800" rIns="50800" bIns="50800" numCol="1" anchor="t">
          <a:spAutoFit/>
        </a:bodyPr>
        <a:lstStyle/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1" baseline="0" cap="none" i="0" spc="0" strike="noStrike" sz="1200" u="none">
              <a:ln>
                <a:noFill/>
              </a:ln>
              <a:solidFill>
                <a:srgbClr val="444444"/>
              </a:solidFill>
              <a:uFillTx/>
              <a:latin typeface="Georgia"/>
              <a:ea typeface="Georgia"/>
              <a:cs typeface="Georgia"/>
              <a:sym typeface="Georgia"/>
            </a:defRPr>
          </a:pPr>
          <a:r>
            <a:rPr b="1" baseline="0" cap="none" i="0" spc="0" strike="noStrike" sz="1200" u="none">
              <a:ln>
                <a:noFill/>
              </a:ln>
              <a:solidFill>
                <a:srgbClr val="444444"/>
              </a:solidFill>
              <a:uFillTx/>
              <a:latin typeface="Georgia"/>
              <a:ea typeface="Georgia"/>
              <a:cs typeface="Georgia"/>
              <a:sym typeface="Georgia"/>
            </a:rPr>
            <a:t>Please note that the following items will be prepared in our kitchen in Ehden &amp; direct cost is per final unit.</a:t>
          </a:r>
          <a:endParaRPr b="1" baseline="0" cap="none" i="0" spc="0" strike="noStrike" sz="1200" u="none">
            <a:ln>
              <a:noFill/>
            </a:ln>
            <a:solidFill>
              <a:srgbClr val="444444"/>
            </a:solidFill>
            <a:uFillTx/>
            <a:latin typeface="Georgia"/>
            <a:ea typeface="Georgia"/>
            <a:cs typeface="Georgia"/>
            <a:sym typeface="Georgia"/>
          </a:endParaRPr>
        </a:p>
        <a:p>
          <a:pPr marL="457200" marR="0" indent="-31750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 typeface="Georgia"/>
            <a:buChar char="•"/>
            <a:tabLst/>
            <a:defRPr b="1" baseline="0" cap="none" i="0" spc="0" strike="noStrike" sz="1200" u="none">
              <a:ln>
                <a:noFill/>
              </a:ln>
              <a:solidFill>
                <a:srgbClr val="444444"/>
              </a:solidFill>
              <a:uFillTx/>
              <a:latin typeface="Georgia"/>
              <a:ea typeface="Georgia"/>
              <a:cs typeface="Georgia"/>
              <a:sym typeface="Georgia"/>
            </a:defRPr>
          </a:pPr>
          <a:r>
            <a:rPr b="1" baseline="0" cap="none" i="0" spc="0" strike="noStrike" sz="1200" u="none">
              <a:ln>
                <a:noFill/>
              </a:ln>
              <a:solidFill>
                <a:srgbClr val="444444"/>
              </a:solidFill>
              <a:uFillTx/>
              <a:latin typeface="Georgia"/>
              <a:ea typeface="Georgia"/>
              <a:cs typeface="Georgia"/>
              <a:sym typeface="Georgia"/>
            </a:rPr>
            <a:t>Kebbé Zghwertewiyé with Fat ( 2 sizes)</a:t>
          </a:r>
          <a:endParaRPr b="1" baseline="0" cap="none" i="0" spc="0" strike="noStrike" sz="1200" u="none">
            <a:ln>
              <a:noFill/>
            </a:ln>
            <a:solidFill>
              <a:srgbClr val="444444"/>
            </a:solidFill>
            <a:uFillTx/>
            <a:latin typeface="Georgia"/>
            <a:ea typeface="Georgia"/>
            <a:cs typeface="Georgia"/>
            <a:sym typeface="Georgia"/>
          </a:endParaRPr>
        </a:p>
        <a:p>
          <a:pPr marL="457200" marR="0" indent="-31750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 typeface="Georgia"/>
            <a:buChar char="•"/>
            <a:tabLst/>
            <a:defRPr b="1" baseline="0" cap="none" i="0" spc="0" strike="noStrike" sz="1200" u="none">
              <a:ln>
                <a:noFill/>
              </a:ln>
              <a:solidFill>
                <a:srgbClr val="444444"/>
              </a:solidFill>
              <a:uFillTx/>
              <a:latin typeface="Georgia"/>
              <a:ea typeface="Georgia"/>
              <a:cs typeface="Georgia"/>
              <a:sym typeface="Georgia"/>
            </a:defRPr>
          </a:pPr>
          <a:r>
            <a:rPr b="1" baseline="0" cap="none" i="0" spc="0" strike="noStrike" sz="1200" u="none">
              <a:ln>
                <a:noFill/>
              </a:ln>
              <a:solidFill>
                <a:srgbClr val="444444"/>
              </a:solidFill>
              <a:uFillTx/>
              <a:latin typeface="Georgia"/>
              <a:ea typeface="Georgia"/>
              <a:cs typeface="Georgia"/>
              <a:sym typeface="Georgia"/>
            </a:rPr>
            <a:t>Kebbé Zghweretwiyé with Meat ( 2 sizes)</a:t>
          </a:r>
          <a:endParaRPr b="1" baseline="0" cap="none" i="0" spc="0" strike="noStrike" sz="1200" u="none">
            <a:ln>
              <a:noFill/>
            </a:ln>
            <a:solidFill>
              <a:srgbClr val="444444"/>
            </a:solidFill>
            <a:uFillTx/>
            <a:latin typeface="Georgia"/>
            <a:ea typeface="Georgia"/>
            <a:cs typeface="Georgia"/>
            <a:sym typeface="Georgia"/>
          </a:endParaRPr>
        </a:p>
        <a:p>
          <a:pPr marL="457200" marR="0" indent="-31750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 typeface="Georgia"/>
            <a:buChar char="•"/>
            <a:tabLst/>
            <a:defRPr b="1" baseline="0" cap="none" i="0" spc="0" strike="noStrike" sz="1200" u="none">
              <a:ln>
                <a:noFill/>
              </a:ln>
              <a:solidFill>
                <a:srgbClr val="444444"/>
              </a:solidFill>
              <a:uFillTx/>
              <a:latin typeface="Georgia"/>
              <a:ea typeface="Georgia"/>
              <a:cs typeface="Georgia"/>
              <a:sym typeface="Georgia"/>
            </a:defRPr>
          </a:pPr>
          <a:r>
            <a:rPr b="1" baseline="0" cap="none" i="0" spc="0" strike="noStrike" sz="1200" u="none">
              <a:ln>
                <a:noFill/>
              </a:ln>
              <a:solidFill>
                <a:srgbClr val="444444"/>
              </a:solidFill>
              <a:uFillTx/>
              <a:latin typeface="Georgia"/>
              <a:ea typeface="Georgia"/>
              <a:cs typeface="Georgia"/>
              <a:sym typeface="Georgia"/>
            </a:rPr>
            <a:t>E’rass La’tine (1 size)</a:t>
          </a:r>
          <a:endParaRPr b="1" baseline="0" cap="none" i="0" spc="0" strike="noStrike" sz="1200" u="none">
            <a:ln>
              <a:noFill/>
            </a:ln>
            <a:solidFill>
              <a:srgbClr val="444444"/>
            </a:solidFill>
            <a:uFillTx/>
            <a:latin typeface="Georgia"/>
            <a:ea typeface="Georgia"/>
            <a:cs typeface="Georgia"/>
            <a:sym typeface="Georgia"/>
          </a:endParaRPr>
        </a:p>
        <a:p>
          <a:pPr marL="457200" marR="0" indent="-31750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 typeface="Georgia"/>
            <a:buChar char="•"/>
            <a:tabLst/>
            <a:defRPr b="1" baseline="0" cap="none" i="0" spc="0" strike="noStrike" sz="1200" u="none">
              <a:ln>
                <a:noFill/>
              </a:ln>
              <a:solidFill>
                <a:srgbClr val="444444"/>
              </a:solidFill>
              <a:uFillTx/>
              <a:latin typeface="Georgia"/>
              <a:ea typeface="Georgia"/>
              <a:cs typeface="Georgia"/>
              <a:sym typeface="Georgia"/>
            </a:defRPr>
          </a:pPr>
          <a:r>
            <a:rPr b="1" baseline="0" cap="none" i="0" spc="0" strike="noStrike" sz="1200" u="none">
              <a:ln>
                <a:noFill/>
              </a:ln>
              <a:solidFill>
                <a:srgbClr val="444444"/>
              </a:solidFill>
              <a:uFillTx/>
              <a:latin typeface="Georgia"/>
              <a:ea typeface="Georgia"/>
              <a:cs typeface="Georgia"/>
              <a:sym typeface="Georgia"/>
            </a:rPr>
            <a:t>E’rass Kebbé Hazineh (1 size)</a:t>
          </a:r>
          <a:endParaRPr b="1" baseline="0" cap="none" i="0" spc="0" strike="noStrike" sz="1200" u="none">
            <a:ln>
              <a:noFill/>
            </a:ln>
            <a:solidFill>
              <a:srgbClr val="444444"/>
            </a:solidFill>
            <a:uFillTx/>
            <a:latin typeface="Georgia"/>
            <a:ea typeface="Georgia"/>
            <a:cs typeface="Georgia"/>
            <a:sym typeface="Georgia"/>
          </a:endParaRPr>
        </a:p>
        <a:p>
          <a:pPr marL="457200" marR="0" indent="-31750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 typeface="Georgia"/>
            <a:buChar char="•"/>
            <a:tabLst/>
            <a:defRPr b="1" baseline="0" cap="none" i="0" spc="0" strike="noStrike" sz="1200" u="none">
              <a:ln>
                <a:noFill/>
              </a:ln>
              <a:solidFill>
                <a:srgbClr val="444444"/>
              </a:solidFill>
              <a:uFillTx/>
              <a:latin typeface="Georgia"/>
              <a:ea typeface="Georgia"/>
              <a:cs typeface="Georgia"/>
              <a:sym typeface="Georgia"/>
            </a:defRPr>
          </a:pPr>
          <a:r>
            <a:rPr b="1" baseline="0" cap="none" i="0" spc="0" strike="noStrike" sz="1200" u="none">
              <a:ln>
                <a:noFill/>
              </a:ln>
              <a:solidFill>
                <a:srgbClr val="444444"/>
              </a:solidFill>
              <a:uFillTx/>
              <a:latin typeface="Georgia"/>
              <a:ea typeface="Georgia"/>
              <a:cs typeface="Georgia"/>
              <a:sym typeface="Georgia"/>
            </a:rPr>
            <a:t>Kabkoubé minced meat (small size)</a:t>
          </a:r>
          <a:endParaRPr b="1" baseline="0" cap="none" i="0" spc="0" strike="noStrike" sz="1200" u="none">
            <a:ln>
              <a:noFill/>
            </a:ln>
            <a:solidFill>
              <a:srgbClr val="444444"/>
            </a:solidFill>
            <a:uFillTx/>
            <a:latin typeface="Georgia"/>
            <a:ea typeface="Georgia"/>
            <a:cs typeface="Georgia"/>
            <a:sym typeface="Georgia"/>
          </a:endParaRPr>
        </a:p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b="1" baseline="0" cap="none" i="0" spc="0" strike="noStrike" sz="1200" u="none">
              <a:ln>
                <a:noFill/>
              </a:ln>
              <a:solidFill>
                <a:srgbClr val="444444"/>
              </a:solidFill>
              <a:uFillTx/>
              <a:latin typeface="Georgia"/>
              <a:ea typeface="Georgia"/>
              <a:cs typeface="Georgia"/>
              <a:sym typeface="Georgia"/>
            </a:defRPr>
          </a:pPr>
          <a:endParaRPr b="1" baseline="0" cap="none" i="0" spc="0" strike="noStrike" sz="1200" u="none">
            <a:ln>
              <a:noFill/>
            </a:ln>
            <a:solidFill>
              <a:srgbClr val="444444"/>
            </a:solidFill>
            <a:uFillTx/>
            <a:latin typeface="Georgia"/>
            <a:ea typeface="Georgia"/>
            <a:cs typeface="Georgia"/>
            <a:sym typeface="Georgia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04_Recipe">
  <a:themeElements>
    <a:clrScheme name="04_Recipe">
      <a:dk1>
        <a:srgbClr val="000000"/>
      </a:dk1>
      <a:lt1>
        <a:srgbClr val="FFFFFF"/>
      </a:lt1>
      <a:dk2>
        <a:srgbClr val="444444"/>
      </a:dk2>
      <a:lt2>
        <a:srgbClr val="AAAAAA"/>
      </a:lt2>
      <a:accent1>
        <a:srgbClr val="A6BACF"/>
      </a:accent1>
      <a:accent2>
        <a:srgbClr val="98A68D"/>
      </a:accent2>
      <a:accent3>
        <a:srgbClr val="E2C07E"/>
      </a:accent3>
      <a:accent4>
        <a:srgbClr val="EA8B60"/>
      </a:accent4>
      <a:accent5>
        <a:srgbClr val="B93E40"/>
      </a:accent5>
      <a:accent6>
        <a:srgbClr val="807898"/>
      </a:accent6>
      <a:hlink>
        <a:srgbClr val="0000FF"/>
      </a:hlink>
      <a:folHlink>
        <a:srgbClr val="FF00FF"/>
      </a:folHlink>
    </a:clrScheme>
    <a:fontScheme name="04_Recipe">
      <a:majorFont>
        <a:latin typeface="Baskerville"/>
        <a:ea typeface="Baskerville"/>
        <a:cs typeface="Baskerville"/>
      </a:majorFont>
      <a:minorFont>
        <a:latin typeface="Baskerville"/>
        <a:ea typeface="Baskerville"/>
        <a:cs typeface="Baskerville"/>
      </a:minorFont>
    </a:fontScheme>
    <a:fmtScheme name="04_Recip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2">
            <a:hueOff val="304431"/>
            <a:satOff val="14136"/>
            <a:lumOff val="-27777"/>
          </a:schemeClr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Baskervill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6350" cap="flat">
          <a:solidFill>
            <a:srgbClr val="AAAAAA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20000"/>
          </a:lnSpc>
          <a:spcBef>
            <a:spcPts val="40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444444"/>
            </a:solidFill>
            <a:effectLst/>
            <a:uFillTx/>
            <a:latin typeface="+mn-lt"/>
            <a:ea typeface="+mn-ea"/>
            <a:cs typeface="+mn-cs"/>
            <a:sym typeface="Baskervill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</Relationships>
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</Relationships>
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</Relationships>
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</Relationships>
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</Relationships>
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</Relationships>
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</Relationships>
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9.xml"/></Relationships>
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0.xml"/></Relationships>
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1.xml"/></Relationships>
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2.xml"/></Relationships>
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3.xml"/></Relationships>
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4.xml"/></Relationships>
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5.xml"/></Relationships>
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6.xml"/></Relationships>
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17.xm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J10"/>
  <sheetViews>
    <sheetView workbookViewId="0" showGridLines="0" defaultGridColor="1"/>
  </sheetViews>
  <sheetFormatPr defaultColWidth="9" defaultRowHeight="20.55" customHeight="1" outlineLevelRow="0" outlineLevelCol="0"/>
  <cols>
    <col min="1" max="1" width="21" style="1" customWidth="1"/>
    <col min="2" max="3" width="9" style="1" customWidth="1"/>
    <col min="4" max="4" hidden="1" width="9" style="1" customWidth="1"/>
    <col min="5" max="6" width="9" style="1" customWidth="1"/>
    <col min="7" max="7" hidden="1" width="9" style="1" customWidth="1"/>
    <col min="8" max="8" width="21" style="22" customWidth="1"/>
    <col min="9" max="10" width="18" style="22" customWidth="1"/>
    <col min="11" max="256" width="9" style="22" customWidth="1"/>
  </cols>
  <sheetData>
    <row r="1" ht="62.65" customHeight="1"/>
    <row r="2" ht="23.5" customHeight="1">
      <c r="A2" t="s" s="2">
        <v>0</v>
      </c>
      <c r="B2" t="s" s="2">
        <v>1</v>
      </c>
      <c r="C2" s="3"/>
      <c r="D2" s="4"/>
      <c r="E2" t="s" s="2">
        <v>2</v>
      </c>
      <c r="F2" s="3"/>
      <c r="G2" s="4"/>
    </row>
    <row r="3" ht="21.6" customHeight="1">
      <c r="A3" t="s" s="5">
        <v>3</v>
      </c>
      <c r="B3" s="6">
        <v>300</v>
      </c>
      <c r="C3" t="s" s="7">
        <v>4</v>
      </c>
      <c r="D3" t="s" s="7">
        <f>IF(C3="oz","ozm",IF(C3="tbsp","tbs",IF(C3="fl oz","oz",IF(C3="L","l",IF(C3="mL","ml",IF(C3="lb","lbm",IF(C3="----","F",C3)))))))</f>
        <v>4</v>
      </c>
      <c r="E3" s="8">
        <f>IF(AND(D3="F",G3="F"),B3,CONVERT(B3,D3,G3))*$J$10/$I$10</f>
        <v>159</v>
      </c>
      <c r="F3" t="s" s="7">
        <v>4</v>
      </c>
      <c r="G3" t="s" s="7">
        <f>IF(F3="oz","ozm",IF(F3="tbsp","tbs",IF(F3="fl oz","oz",IF(F3="L","l",IF(F3="mL","ml",IF(F3="lb","lbm",IF(F3="----","F",F3)))))))</f>
        <v>4</v>
      </c>
    </row>
    <row r="4" ht="21.25" customHeight="1">
      <c r="A4" t="s" s="9">
        <v>5</v>
      </c>
      <c r="B4" s="10">
        <v>150</v>
      </c>
      <c r="C4" t="s" s="11">
        <v>4</v>
      </c>
      <c r="D4" t="s" s="11">
        <f>IF(C4="oz","ozm",IF(C4="tbsp","tbs",IF(C4="fl oz","oz",IF(C4="L","l",IF(C4="mL","ml",IF(C4="lb","lbm",IF(C4="----","F",C4)))))))</f>
        <v>4</v>
      </c>
      <c r="E4" s="12">
        <f>IF(AND(D4="F",G4="F"),B4,CONVERT(B4,D4,G4))*$J$10/$I$10</f>
        <v>79.5</v>
      </c>
      <c r="F4" t="s" s="11">
        <v>4</v>
      </c>
      <c r="G4" t="s" s="11">
        <f>IF(F4="oz","ozm",IF(F4="tbsp","tbs",IF(F4="fl oz","oz",IF(F4="L","l",IF(F4="mL","ml",IF(F4="lb","lbm",IF(F4="----","F",F4)))))))</f>
        <v>4</v>
      </c>
    </row>
    <row r="5" ht="21.25" customHeight="1">
      <c r="A5" t="s" s="9">
        <v>6</v>
      </c>
      <c r="B5" s="10">
        <v>120</v>
      </c>
      <c r="C5" t="s" s="11">
        <v>7</v>
      </c>
      <c r="D5" t="s" s="11">
        <f>IF(C5="oz","ozm",IF(C5="tbsp","tbs",IF(C5="fl oz","oz",IF(C5="L","l",IF(C5="mL","ml",IF(C5="lb","lbm",IF(C5="----","F",C5)))))))</f>
        <v>8</v>
      </c>
      <c r="E5" s="12">
        <f>IF(AND(D5="F",G5="F"),B5,CONVERT(B5,D5,G5))*$J$10/$I$10</f>
        <v>63.6</v>
      </c>
      <c r="F5" t="s" s="11">
        <v>7</v>
      </c>
      <c r="G5" t="s" s="11">
        <f>IF(F5="oz","ozm",IF(F5="tbsp","tbs",IF(F5="fl oz","oz",IF(F5="L","l",IF(F5="mL","ml",IF(F5="lb","lbm",IF(F5="----","F",F5)))))))</f>
        <v>8</v>
      </c>
    </row>
    <row r="6" ht="21.6" customHeight="1">
      <c r="A6" t="s" s="13">
        <v>9</v>
      </c>
      <c r="B6" s="14">
        <v>2</v>
      </c>
      <c r="C6" t="s" s="15">
        <v>10</v>
      </c>
      <c r="D6" t="s" s="11">
        <f>IF(C6="oz","ozm",IF(C6="tbsp","tbs",IF(C6="fl oz","oz",IF(C6="L","l",IF(C6="mL","ml",IF(C6="lb","lbm",IF(C6="----","F",C6)))))))</f>
        <v>10</v>
      </c>
      <c r="E6" s="16">
        <f>IF(AND(D6="F",G6="F"),B6,CONVERT(B6,D6,G6))*$J$10/$I$10</f>
        <v>1.06</v>
      </c>
      <c r="F6" t="s" s="15">
        <v>10</v>
      </c>
      <c r="G6" t="s" s="11">
        <f>IF(F6="oz","ozm",IF(F6="tbsp","tbs",IF(F6="fl oz","oz",IF(F6="L","l",IF(F6="mL","ml",IF(F6="lb","lbm",IF(F6="----","F",F6)))))))</f>
        <v>10</v>
      </c>
    </row>
    <row r="7" ht="22" customHeight="1">
      <c r="A7" t="s" s="17">
        <v>11</v>
      </c>
      <c r="B7" s="18">
        <v>1</v>
      </c>
      <c r="C7" t="s" s="19">
        <v>10</v>
      </c>
      <c r="D7" t="s" s="20">
        <f>IF(C7="oz","ozm",IF(C7="tbsp","tbs",IF(C7="fl oz","oz",IF(C7="L","l",IF(C7="mL","ml",IF(C7="lb","lbm",IF(C7="----","F",C7)))))))</f>
        <v>10</v>
      </c>
      <c r="E7" s="21">
        <f>IF(AND(D7="F",G7="F"),B7,CONVERT(B7,D7,G7))*$J$10/$I$10</f>
        <v>0.53</v>
      </c>
      <c r="F7" t="s" s="19">
        <v>10</v>
      </c>
      <c r="G7" t="s" s="20">
        <f>IF(F7="oz","ozm",IF(F7="tbsp","tbs",IF(F7="fl oz","oz",IF(F7="L","l",IF(F7="mL","ml",IF(F7="lb","lbm",IF(F7="----","F",F7)))))))</f>
        <v>10</v>
      </c>
    </row>
    <row r="9" ht="19.5" customHeight="1">
      <c r="H9" s="23"/>
      <c r="I9" t="s" s="23">
        <v>12</v>
      </c>
      <c r="J9" t="s" s="23">
        <v>12</v>
      </c>
    </row>
    <row r="10" ht="22" customHeight="1">
      <c r="H10" s="19"/>
      <c r="I10" s="24">
        <v>10</v>
      </c>
      <c r="J10" s="24">
        <v>5.3</v>
      </c>
    </row>
  </sheetData>
  <mergeCells count="2">
    <mergeCell ref="B2:C2"/>
    <mergeCell ref="E2:F2"/>
  </mergeCells>
  <pageMargins left="0.5" right="0.5" top="0.25" bottom="0.5" header="0.25" footer="0.25"/>
  <pageSetup firstPageNumber="1" fitToHeight="1" fitToWidth="1" scale="100" useFirstPageNumber="0" orientation="portrait" pageOrder="downThenOver"/>
  <headerFooter>
    <oddFooter>&amp;C&amp;"Baskerville,Regular"&amp;10&amp;K000000&amp;P</oddFooter>
  </headerFooter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B3:K15"/>
  <sheetViews>
    <sheetView workbookViewId="0" showGridLines="0" defaultGridColor="1"/>
  </sheetViews>
  <sheetFormatPr defaultColWidth="21" defaultRowHeight="20.55" customHeight="1" outlineLevelRow="0" outlineLevelCol="0"/>
  <cols>
    <col min="1" max="1" width="68.1562" style="25" customWidth="1"/>
    <col min="2" max="2" width="21" style="25" customWidth="1"/>
    <col min="3" max="4" width="18" style="25" customWidth="1"/>
    <col min="5" max="5" width="21" style="27" customWidth="1"/>
    <col min="6" max="7" width="9" style="27" customWidth="1"/>
    <col min="8" max="8" hidden="1" width="21" style="27" customWidth="1"/>
    <col min="9" max="10" width="9" style="27" customWidth="1"/>
    <col min="11" max="11" hidden="1" width="21" style="27" customWidth="1"/>
    <col min="12" max="256" width="21" style="27" customWidth="1"/>
  </cols>
  <sheetData>
    <row r="1" ht="66.25" customHeight="1"/>
    <row r="2" ht="28" customHeight="1">
      <c r="B2" t="s" s="26">
        <v>13</v>
      </c>
      <c r="C2" s="26"/>
      <c r="D2" s="26"/>
    </row>
    <row r="3" ht="19.5" customHeight="1">
      <c r="B3" s="23"/>
      <c r="C3" t="s" s="23">
        <v>14</v>
      </c>
      <c r="D3" t="s" s="23">
        <v>12</v>
      </c>
    </row>
    <row r="4" ht="22" customHeight="1">
      <c r="B4" s="19"/>
      <c r="C4" s="24">
        <v>10</v>
      </c>
      <c r="D4" s="24">
        <v>5.3</v>
      </c>
    </row>
    <row r="6" ht="23.5" customHeight="1">
      <c r="E6" t="s" s="28">
        <v>0</v>
      </c>
      <c r="F6" t="s" s="28">
        <v>1</v>
      </c>
      <c r="G6" s="3"/>
      <c r="H6" s="4"/>
      <c r="I6" t="s" s="28">
        <v>2</v>
      </c>
      <c r="J6" s="3"/>
      <c r="K6" s="4"/>
    </row>
    <row r="7" ht="21.6" customHeight="1">
      <c r="E7" t="s" s="5">
        <v>3</v>
      </c>
      <c r="F7" s="6">
        <v>550</v>
      </c>
      <c r="G7" t="s" s="7">
        <v>4</v>
      </c>
      <c r="H7" t="s" s="7">
        <f>IF(G7="oz","ozm",IF(G7="tbsp","tbs",IF(G7="fl oz","oz",IF(G7="L","l",IF(G7="mL","ml",IF(G7="lb","lbm",IF(G7="----","F",G7)))))))</f>
        <v>4</v>
      </c>
      <c r="I7" s="8">
        <f>IF(AND(H7="F",K7="F"),F7,CONVERT(F7,H7,K7))*$D$4/$C$4</f>
        <v>291.5</v>
      </c>
      <c r="J7" t="s" s="7">
        <v>4</v>
      </c>
      <c r="K7" t="s" s="7">
        <f>IF(J7="oz","ozm",IF(J7="tbsp","tbs",IF(J7="fl oz","oz",IF(J7="L","l",IF(J7="mL","ml",IF(J7="lb","lbm",IF(J7="----","F",J7)))))))</f>
        <v>4</v>
      </c>
    </row>
    <row r="8" ht="21.25" customHeight="1">
      <c r="E8" t="s" s="9">
        <v>5</v>
      </c>
      <c r="F8" s="10">
        <v>250</v>
      </c>
      <c r="G8" t="s" s="11">
        <v>4</v>
      </c>
      <c r="H8" t="s" s="11">
        <f>IF(G8="oz","ozm",IF(G8="tbsp","tbs",IF(G8="fl oz","oz",IF(G8="L","l",IF(G8="mL","ml",IF(G8="lb","lbm",IF(G8="----","F",G8)))))))</f>
        <v>4</v>
      </c>
      <c r="I8" s="12">
        <f>IF(AND(H8="F",K8="F"),F8,CONVERT(F8,H8,K8))*$D$4/$C$4</f>
        <v>132.5</v>
      </c>
      <c r="J8" t="s" s="11">
        <v>4</v>
      </c>
      <c r="K8" t="s" s="11">
        <f>IF(J8="oz","ozm",IF(J8="tbsp","tbs",IF(J8="fl oz","oz",IF(J8="L","l",IF(J8="mL","ml",IF(J8="lb","lbm",IF(J8="----","F",J8)))))))</f>
        <v>4</v>
      </c>
    </row>
    <row r="9" ht="21.25" customHeight="1">
      <c r="E9" t="s" s="9">
        <v>15</v>
      </c>
      <c r="F9" s="10">
        <v>18</v>
      </c>
      <c r="G9" t="s" s="11">
        <v>4</v>
      </c>
      <c r="H9" t="s" s="11">
        <f>IF(G9="oz","ozm",IF(G9="tbsp","tbs",IF(G9="fl oz","oz",IF(G9="L","l",IF(G9="mL","ml",IF(G9="lb","lbm",IF(G9="----","F",G9)))))))</f>
        <v>4</v>
      </c>
      <c r="I9" s="12">
        <f>IF(AND(H9="F",K9="F"),F9,CONVERT(F9,H9,K9))*$D$4/$C$4</f>
        <v>9.539999999999999</v>
      </c>
      <c r="J9" t="s" s="11">
        <v>4</v>
      </c>
      <c r="K9" t="s" s="11">
        <f>IF(J9="oz","ozm",IF(J9="tbsp","tbs",IF(J9="fl oz","oz",IF(J9="L","l",IF(J9="mL","ml",IF(J9="lb","lbm",IF(J9="----","F",J9)))))))</f>
        <v>4</v>
      </c>
    </row>
    <row r="10" ht="21.25" customHeight="1">
      <c r="E10" t="s" s="9">
        <v>16</v>
      </c>
      <c r="F10" s="10">
        <v>160</v>
      </c>
      <c r="G10" t="s" s="11">
        <v>4</v>
      </c>
      <c r="H10" t="s" s="11">
        <f>IF(G10="oz","ozm",IF(G10="tbsp","tbs",IF(G10="fl oz","oz",IF(G10="L","l",IF(G10="mL","ml",IF(G10="lb","lbm",IF(G10="----","F",G10)))))))</f>
        <v>4</v>
      </c>
      <c r="I10" s="12">
        <f>IF(AND(H10="F",K10="F"),F10,CONVERT(F10,H10,K10))*$D$4/$C$4</f>
        <v>84.8</v>
      </c>
      <c r="J10" t="s" s="11">
        <v>4</v>
      </c>
      <c r="K10" t="s" s="11">
        <f>IF(J10="oz","ozm",IF(J10="tbsp","tbs",IF(J10="fl oz","oz",IF(J10="L","l",IF(J10="mL","ml",IF(J10="lb","lbm",IF(J10="----","F",J10)))))))</f>
        <v>4</v>
      </c>
    </row>
    <row r="11" ht="21.25" customHeight="1">
      <c r="E11" t="s" s="9">
        <v>17</v>
      </c>
      <c r="F11" s="10">
        <v>1</v>
      </c>
      <c r="G11" t="s" s="11">
        <v>18</v>
      </c>
      <c r="H11" t="s" s="11">
        <f>IF(G11="oz","ozm",IF(G11="tbsp","tbs",IF(G11="fl oz","oz",IF(G11="L","l",IF(G11="mL","ml",IF(G11="lb","lbm",IF(G11="----","F",G11)))))))</f>
        <v>19</v>
      </c>
      <c r="I11" s="12">
        <f>IF(AND(H11="F",K11="F"),F11,CONVERT(F11,H11,K11))*$D$4/$C$4</f>
        <v>0.53</v>
      </c>
      <c r="J11" t="s" s="11">
        <v>18</v>
      </c>
      <c r="K11" t="s" s="11">
        <f>IF(J11="oz","ozm",IF(J11="tbsp","tbs",IF(J11="fl oz","oz",IF(J11="L","l",IF(J11="mL","ml",IF(J11="lb","lbm",IF(J11="----","F",J11)))))))</f>
        <v>19</v>
      </c>
    </row>
    <row r="12" ht="21.25" customHeight="1">
      <c r="E12" t="s" s="9">
        <v>6</v>
      </c>
      <c r="F12" s="10">
        <v>120</v>
      </c>
      <c r="G12" t="s" s="11">
        <v>7</v>
      </c>
      <c r="H12" t="s" s="11">
        <f>IF(G12="oz","ozm",IF(G12="tbsp","tbs",IF(G12="fl oz","oz",IF(G12="L","l",IF(G12="mL","ml",IF(G12="lb","lbm",IF(G12="----","F",G12)))))))</f>
        <v>8</v>
      </c>
      <c r="I12" s="12">
        <f>IF(AND(H12="F",K12="F"),F12,CONVERT(F12,H12,K12))*$D$4/$C$4</f>
        <v>63.6</v>
      </c>
      <c r="J12" t="s" s="11">
        <v>7</v>
      </c>
      <c r="K12" t="s" s="11">
        <f>IF(J12="oz","ozm",IF(J12="tbsp","tbs",IF(J12="fl oz","oz",IF(J12="L","l",IF(J12="mL","ml",IF(J12="lb","lbm",IF(J12="----","F",J12)))))))</f>
        <v>8</v>
      </c>
    </row>
    <row r="13" ht="34.25" customHeight="1">
      <c r="E13" t="s" s="9">
        <v>20</v>
      </c>
      <c r="F13" s="10">
        <v>2</v>
      </c>
      <c r="G13" t="s" s="11">
        <v>18</v>
      </c>
      <c r="H13" t="s" s="11">
        <f>IF(G13="oz","ozm",IF(G13="tbsp","tbs",IF(G13="fl oz","oz",IF(G13="L","l",IF(G13="mL","ml",IF(G13="lb","lbm",IF(G13="----","F",G13)))))))</f>
        <v>19</v>
      </c>
      <c r="I13" s="12">
        <f>IF(AND(H13="F",K13="F"),F13,CONVERT(F13,H13,K13))*$D$4/$C$4</f>
        <v>1.06</v>
      </c>
      <c r="J13" t="s" s="11">
        <v>18</v>
      </c>
      <c r="K13" t="s" s="11">
        <f>IF(J13="oz","ozm",IF(J13="tbsp","tbs",IF(J13="fl oz","oz",IF(J13="L","l",IF(J13="mL","ml",IF(J13="lb","lbm",IF(J13="----","F",J13)))))))</f>
        <v>19</v>
      </c>
    </row>
    <row r="14" ht="21.6" customHeight="1">
      <c r="E14" t="s" s="13">
        <v>9</v>
      </c>
      <c r="F14" s="14">
        <v>2</v>
      </c>
      <c r="G14" t="s" s="15">
        <v>10</v>
      </c>
      <c r="H14" t="s" s="15">
        <f>IF(G14="oz","ozm",IF(G14="tbsp","tbs",IF(G14="fl oz","oz",IF(G14="L","l",IF(G14="mL","ml",IF(G14="lb","lbm",IF(G14="----","F",G14)))))))</f>
        <v>10</v>
      </c>
      <c r="I14" s="16">
        <f>IF(AND(H14="F",K14="F"),F14,CONVERT(F14,H14,K14))*$D$4/$C$4</f>
        <v>1.06</v>
      </c>
      <c r="J14" t="s" s="15">
        <v>10</v>
      </c>
      <c r="K14" t="s" s="15">
        <f>IF(J14="oz","ozm",IF(J14="tbsp","tbs",IF(J14="fl oz","oz",IF(J14="L","l",IF(J14="mL","ml",IF(J14="lb","lbm",IF(J14="----","F",J14)))))))</f>
        <v>10</v>
      </c>
    </row>
    <row r="15" ht="22" customHeight="1">
      <c r="E15" t="s" s="17">
        <v>11</v>
      </c>
      <c r="F15" s="18">
        <v>1</v>
      </c>
      <c r="G15" t="s" s="19">
        <v>10</v>
      </c>
      <c r="H15" t="s" s="19">
        <f>IF(G15="oz","ozm",IF(G15="tbsp","tbs",IF(G15="fl oz","oz",IF(G15="L","l",IF(G15="mL","ml",IF(G15="lb","lbm",IF(G15="----","F",G15)))))))</f>
        <v>10</v>
      </c>
      <c r="I15" s="21">
        <f>IF(AND(H15="F",K15="F"),F15,CONVERT(F15,H15,K15))*$D$4/$C$4</f>
        <v>0.53</v>
      </c>
      <c r="J15" t="s" s="19">
        <v>10</v>
      </c>
      <c r="K15" t="s" s="19">
        <f>IF(J15="oz","ozm",IF(J15="tbsp","tbs",IF(J15="fl oz","oz",IF(J15="L","l",IF(J15="mL","ml",IF(J15="lb","lbm",IF(J15="----","F",J15)))))))</f>
        <v>10</v>
      </c>
    </row>
  </sheetData>
  <mergeCells count="3">
    <mergeCell ref="B2:D2"/>
    <mergeCell ref="F6:G6"/>
    <mergeCell ref="I6:J6"/>
  </mergeCells>
  <pageMargins left="0.5" right="0.5" top="0.25" bottom="0.5" header="0.25" footer="0.25"/>
  <pageSetup firstPageNumber="1" fitToHeight="1" fitToWidth="1" scale="100" useFirstPageNumber="0" orientation="portrait" pageOrder="downThenOver"/>
  <headerFooter>
    <oddFooter>&amp;C&amp;"Baskerville,Regular"&amp;10&amp;K000000&amp;P</oddFooter>
  </headerFooter>
  <drawing r:id="rId1"/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B3:K17"/>
  <sheetViews>
    <sheetView workbookViewId="0" showGridLines="0" defaultGridColor="1"/>
  </sheetViews>
  <sheetFormatPr defaultColWidth="21" defaultRowHeight="20.55" customHeight="1" outlineLevelRow="0" outlineLevelCol="0"/>
  <cols>
    <col min="1" max="1" width="65.3516" style="29" customWidth="1"/>
    <col min="2" max="2" width="21" style="29" customWidth="1"/>
    <col min="3" max="4" width="18" style="29" customWidth="1"/>
    <col min="5" max="5" width="21" style="31" customWidth="1"/>
    <col min="6" max="7" width="9" style="31" customWidth="1"/>
    <col min="8" max="8" hidden="1" width="21" style="31" customWidth="1"/>
    <col min="9" max="10" width="9" style="31" customWidth="1"/>
    <col min="11" max="11" hidden="1" width="21" style="31" customWidth="1"/>
    <col min="12" max="256" width="21" style="31" customWidth="1"/>
  </cols>
  <sheetData>
    <row r="1" ht="47" customHeight="1"/>
    <row r="2" ht="28" customHeight="1">
      <c r="B2" t="s" s="26">
        <v>13</v>
      </c>
      <c r="C2" s="26"/>
      <c r="D2" s="26"/>
    </row>
    <row r="3" ht="19.5" customHeight="1">
      <c r="B3" s="23"/>
      <c r="C3" t="s" s="23">
        <v>14</v>
      </c>
      <c r="D3" t="s" s="23">
        <v>12</v>
      </c>
    </row>
    <row r="4" ht="22" customHeight="1">
      <c r="B4" s="19"/>
      <c r="C4" s="24">
        <v>10</v>
      </c>
      <c r="D4" s="24">
        <v>5.3</v>
      </c>
    </row>
    <row r="5" ht="22" customHeight="1">
      <c r="B5" s="30"/>
      <c r="C5" s="24"/>
      <c r="D5" s="24"/>
    </row>
    <row r="7" ht="24.5" customHeight="1">
      <c r="E7" t="s" s="32">
        <v>0</v>
      </c>
      <c r="F7" t="s" s="32">
        <v>1</v>
      </c>
      <c r="G7" s="3"/>
      <c r="H7" s="4"/>
      <c r="I7" t="s" s="32">
        <v>2</v>
      </c>
      <c r="J7" s="3"/>
      <c r="K7" s="4"/>
    </row>
    <row r="8" ht="21.6" customHeight="1">
      <c r="E8" t="s" s="5">
        <v>3</v>
      </c>
      <c r="F8" s="6">
        <v>400</v>
      </c>
      <c r="G8" t="s" s="7">
        <v>4</v>
      </c>
      <c r="H8" t="s" s="7">
        <f>IF(G8="oz","ozm",IF(G8="tbsp","tbs",IF(G8="fl oz","oz",IF(G8="L","l",IF(G8="mL","ml",IF(G8="lb","lbm",IF(G8="----","F",G8)))))))</f>
        <v>4</v>
      </c>
      <c r="I8" s="8">
        <f>IF(AND(H8="F",K8="F"),F8,CONVERT(F8,H8,K8))*$D$4/$C$4</f>
        <v>212</v>
      </c>
      <c r="J8" t="s" s="7">
        <v>4</v>
      </c>
      <c r="K8" t="s" s="7">
        <f>IF(J8="oz","ozm",IF(J8="tbsp","tbs",IF(J8="fl oz","oz",IF(J8="L","l",IF(J8="mL","ml",IF(J8="lb","lbm",IF(J8="----","F",J8)))))))</f>
        <v>4</v>
      </c>
    </row>
    <row r="9" ht="21.25" customHeight="1">
      <c r="E9" t="s" s="9">
        <v>5</v>
      </c>
      <c r="F9" s="10">
        <v>250</v>
      </c>
      <c r="G9" t="s" s="11">
        <v>4</v>
      </c>
      <c r="H9" t="s" s="11">
        <f>IF(G9="oz","ozm",IF(G9="tbsp","tbs",IF(G9="fl oz","oz",IF(G9="L","l",IF(G9="mL","ml",IF(G9="lb","lbm",IF(G9="----","F",G9)))))))</f>
        <v>4</v>
      </c>
      <c r="I9" s="12">
        <f>IF(AND(H9="F",K9="F"),F9,CONVERT(F9,H9,K9))*$D$4/$C$4</f>
        <v>132.5</v>
      </c>
      <c r="J9" t="s" s="11">
        <v>4</v>
      </c>
      <c r="K9" t="s" s="11">
        <f>IF(J9="oz","ozm",IF(J9="tbsp","tbs",IF(J9="fl oz","oz",IF(J9="L","l",IF(J9="mL","ml",IF(J9="lb","lbm",IF(J9="----","F",J9)))))))</f>
        <v>4</v>
      </c>
    </row>
    <row r="10" ht="21.25" customHeight="1">
      <c r="E10" t="s" s="9">
        <v>21</v>
      </c>
      <c r="F10" s="10">
        <v>150</v>
      </c>
      <c r="G10" t="s" s="11">
        <v>4</v>
      </c>
      <c r="H10" t="s" s="11">
        <f>IF(G10="oz","ozm",IF(G10="tbsp","tbs",IF(G10="fl oz","oz",IF(G10="L","l",IF(G10="mL","ml",IF(G10="lb","lbm",IF(G10="----","F",G10)))))))</f>
        <v>4</v>
      </c>
      <c r="I10" s="12">
        <f>IF(AND(H10="F",K10="F"),F10,CONVERT(F10,H10,K10))*$D$4/$C$4</f>
        <v>79.5</v>
      </c>
      <c r="J10" t="s" s="11">
        <v>4</v>
      </c>
      <c r="K10" t="s" s="11">
        <f>IF(J10="oz","ozm",IF(J10="tbsp","tbs",IF(J10="fl oz","oz",IF(J10="L","l",IF(J10="mL","ml",IF(J10="lb","lbm",IF(J10="----","F",J10)))))))</f>
        <v>4</v>
      </c>
    </row>
    <row r="11" ht="21.25" customHeight="1">
      <c r="E11" t="s" s="9">
        <v>16</v>
      </c>
      <c r="F11" s="10">
        <v>160</v>
      </c>
      <c r="G11" t="s" s="11">
        <v>4</v>
      </c>
      <c r="H11" t="s" s="11">
        <f>IF(G11="oz","ozm",IF(G11="tbsp","tbs",IF(G11="fl oz","oz",IF(G11="L","l",IF(G11="mL","ml",IF(G11="lb","lbm",IF(G11="----","F",G11)))))))</f>
        <v>4</v>
      </c>
      <c r="I11" s="12">
        <f>IF(AND(H11="F",K11="F"),F11,CONVERT(F11,H11,K11))*$D$4/$C$4</f>
        <v>84.8</v>
      </c>
      <c r="J11" t="s" s="11">
        <v>4</v>
      </c>
      <c r="K11" t="s" s="11">
        <f>IF(J11="oz","ozm",IF(J11="tbsp","tbs",IF(J11="fl oz","oz",IF(J11="L","l",IF(J11="mL","ml",IF(J11="lb","lbm",IF(J11="----","F",J11)))))))</f>
        <v>4</v>
      </c>
    </row>
    <row r="12" ht="21.25" customHeight="1">
      <c r="E12" t="s" s="9">
        <v>22</v>
      </c>
      <c r="F12" s="10">
        <v>30</v>
      </c>
      <c r="G12" t="s" s="11">
        <v>4</v>
      </c>
      <c r="H12" t="s" s="11">
        <f>IF(G12="oz","ozm",IF(G12="tbsp","tbs",IF(G12="fl oz","oz",IF(G12="L","l",IF(G12="mL","ml",IF(G12="lb","lbm",IF(G12="----","F",G12)))))))</f>
        <v>4</v>
      </c>
      <c r="I12" s="12">
        <f>IF(AND(H12="F",K12="F"),F12,CONVERT(F12,H12,K12))*$D$4/$C$4</f>
        <v>15.9</v>
      </c>
      <c r="J12" t="s" s="11">
        <v>4</v>
      </c>
      <c r="K12" t="s" s="11">
        <f>IF(J12="oz","ozm",IF(J12="tbsp","tbs",IF(J12="fl oz","oz",IF(J12="L","l",IF(J12="mL","ml",IF(J12="lb","lbm",IF(J12="----","F",J12)))))))</f>
        <v>4</v>
      </c>
    </row>
    <row r="13" ht="21.25" customHeight="1">
      <c r="E13" t="s" s="9">
        <v>6</v>
      </c>
      <c r="F13" s="10">
        <v>120</v>
      </c>
      <c r="G13" t="s" s="11">
        <v>7</v>
      </c>
      <c r="H13" t="s" s="11">
        <f>IF(G13="oz","ozm",IF(G13="tbsp","tbs",IF(G13="fl oz","oz",IF(G13="L","l",IF(G13="mL","ml",IF(G13="lb","lbm",IF(G13="----","F",G13)))))))</f>
        <v>8</v>
      </c>
      <c r="I13" s="12">
        <f>IF(AND(H13="F",K13="F"),F13,CONVERT(F13,H13,K13))*$D$4/$C$4</f>
        <v>63.6</v>
      </c>
      <c r="J13" t="s" s="11">
        <v>7</v>
      </c>
      <c r="K13" t="s" s="11">
        <f>IF(J13="oz","ozm",IF(J13="tbsp","tbs",IF(J13="fl oz","oz",IF(J13="L","l",IF(J13="mL","ml",IF(J13="lb","lbm",IF(J13="----","F",J13)))))))</f>
        <v>8</v>
      </c>
    </row>
    <row r="14" ht="21.25" customHeight="1">
      <c r="E14" t="s" s="9">
        <v>23</v>
      </c>
      <c r="F14" s="10">
        <v>2</v>
      </c>
      <c r="G14" t="s" s="11">
        <v>10</v>
      </c>
      <c r="H14" t="s" s="11">
        <f>IF(G14="oz","ozm",IF(G14="tbsp","tbs",IF(G14="fl oz","oz",IF(G14="L","l",IF(G14="mL","ml",IF(G14="lb","lbm",IF(G14="----","F",G14)))))))</f>
        <v>10</v>
      </c>
      <c r="I14" s="12">
        <f>IF(AND(H14="F",K14="F"),F14,CONVERT(F14,H14,K14))*$D$4/$C$4</f>
        <v>0.3533333333333333</v>
      </c>
      <c r="J14" t="s" s="11">
        <v>18</v>
      </c>
      <c r="K14" t="s" s="11">
        <f>IF(J14="oz","ozm",IF(J14="tbsp","tbs",IF(J14="fl oz","oz",IF(J14="L","l",IF(J14="mL","ml",IF(J14="lb","lbm",IF(J14="----","F",J14)))))))</f>
        <v>19</v>
      </c>
    </row>
    <row r="15" ht="21.6" customHeight="1">
      <c r="E15" t="s" s="13">
        <v>9</v>
      </c>
      <c r="F15" s="14">
        <v>2</v>
      </c>
      <c r="G15" t="s" s="15">
        <v>10</v>
      </c>
      <c r="H15" t="s" s="15">
        <f>IF(G15="oz","ozm",IF(G15="tbsp","tbs",IF(G15="fl oz","oz",IF(G15="L","l",IF(G15="mL","ml",IF(G15="lb","lbm",IF(G15="----","F",G15)))))))</f>
        <v>10</v>
      </c>
      <c r="I15" s="16">
        <f>IF(AND(H15="F",K15="F"),F15,CONVERT(F15,H15,K15))*$D$4/$C$4</f>
        <v>1.06</v>
      </c>
      <c r="J15" t="s" s="15">
        <v>10</v>
      </c>
      <c r="K15" t="s" s="15">
        <f>IF(J15="oz","ozm",IF(J15="tbsp","tbs",IF(J15="fl oz","oz",IF(J15="L","l",IF(J15="mL","ml",IF(J15="lb","lbm",IF(J15="----","F",J15)))))))</f>
        <v>10</v>
      </c>
    </row>
    <row r="16" ht="22" customHeight="1">
      <c r="E16" t="s" s="17">
        <v>24</v>
      </c>
      <c r="F16" s="18">
        <v>1</v>
      </c>
      <c r="G16" t="s" s="19">
        <v>10</v>
      </c>
      <c r="H16" t="s" s="19">
        <f>IF(G16="oz","ozm",IF(G16="tbsp","tbs",IF(G16="fl oz","oz",IF(G16="L","l",IF(G16="mL","ml",IF(G16="lb","lbm",IF(G16="----","F",G16)))))))</f>
        <v>10</v>
      </c>
      <c r="I16" s="21">
        <f>IF(AND(H16="F",K16="F"),F16,CONVERT(F16,H16,K16))*$D$4/$C$4</f>
        <v>0.53</v>
      </c>
      <c r="J16" t="s" s="19">
        <v>10</v>
      </c>
      <c r="K16" t="s" s="19">
        <f>IF(J16="oz","ozm",IF(J16="tbsp","tbs",IF(J16="fl oz","oz",IF(J16="L","l",IF(J16="mL","ml",IF(J16="lb","lbm",IF(J16="----","F",J16)))))))</f>
        <v>10</v>
      </c>
    </row>
    <row r="17" ht="22" customHeight="1">
      <c r="E17" t="s" s="17">
        <v>25</v>
      </c>
      <c r="F17" s="18">
        <v>1</v>
      </c>
      <c r="G17" t="s" s="19">
        <v>10</v>
      </c>
      <c r="H17" t="s" s="19">
        <f>IF(G17="oz","ozm",IF(G17="tbsp","tbs",IF(G17="fl oz","oz",IF(G17="L","l",IF(G17="mL","ml",IF(G17="lb","lbm",IF(G17="----","F",G17)))))))</f>
        <v>10</v>
      </c>
      <c r="I17" s="21">
        <f>IF(AND(H17="F",K17="F"),F17,CONVERT(F17,H17,K17))*$D$4/$C$4</f>
        <v>0.53</v>
      </c>
      <c r="J17" t="s" s="19">
        <v>10</v>
      </c>
      <c r="K17" t="s" s="19">
        <f>IF(J17="oz","ozm",IF(J17="tbsp","tbs",IF(J17="fl oz","oz",IF(J17="L","l",IF(J17="mL","ml",IF(J17="lb","lbm",IF(J17="----","F",J17)))))))</f>
        <v>10</v>
      </c>
    </row>
  </sheetData>
  <mergeCells count="3">
    <mergeCell ref="B2:D2"/>
    <mergeCell ref="F7:G7"/>
    <mergeCell ref="I7:J7"/>
  </mergeCells>
  <pageMargins left="0.5" right="0.5" top="0.25" bottom="0.5" header="0.25" footer="0.25"/>
  <pageSetup firstPageNumber="1" fitToHeight="1" fitToWidth="1" scale="100" useFirstPageNumber="0" orientation="portrait" pageOrder="downThenOver"/>
  <headerFooter>
    <oddFooter>&amp;C&amp;"Baskerville,Regular"&amp;10&amp;K000000&amp;P</oddFooter>
  </headerFooter>
  <drawing r:id="rId1"/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B3:K15"/>
  <sheetViews>
    <sheetView workbookViewId="0" showGridLines="0" defaultGridColor="1"/>
  </sheetViews>
  <sheetFormatPr defaultColWidth="21" defaultRowHeight="20.55" customHeight="1" outlineLevelRow="0" outlineLevelCol="0"/>
  <cols>
    <col min="1" max="1" width="65.0703" style="33" customWidth="1"/>
    <col min="2" max="2" width="21" style="33" customWidth="1"/>
    <col min="3" max="4" width="18" style="33" customWidth="1"/>
    <col min="5" max="5" width="21" style="34" customWidth="1"/>
    <col min="6" max="7" width="9" style="34" customWidth="1"/>
    <col min="8" max="8" hidden="1" width="21" style="34" customWidth="1"/>
    <col min="9" max="10" width="9" style="34" customWidth="1"/>
    <col min="11" max="11" hidden="1" width="21" style="34" customWidth="1"/>
    <col min="12" max="256" width="21" style="34" customWidth="1"/>
  </cols>
  <sheetData>
    <row r="1" ht="49.6" customHeight="1"/>
    <row r="2" ht="28" customHeight="1">
      <c r="B2" t="s" s="26">
        <v>13</v>
      </c>
      <c r="C2" s="26"/>
      <c r="D2" s="26"/>
    </row>
    <row r="3" ht="19.5" customHeight="1">
      <c r="B3" s="23"/>
      <c r="C3" t="s" s="23">
        <v>14</v>
      </c>
      <c r="D3" t="s" s="23">
        <v>12</v>
      </c>
    </row>
    <row r="4" ht="22" customHeight="1">
      <c r="B4" s="19"/>
      <c r="C4" s="24">
        <v>10</v>
      </c>
      <c r="D4" s="24">
        <v>5.3</v>
      </c>
    </row>
    <row r="6" ht="23.5" customHeight="1">
      <c r="E6" t="s" s="28">
        <v>0</v>
      </c>
      <c r="F6" t="s" s="28">
        <v>1</v>
      </c>
      <c r="G6" s="3"/>
      <c r="H6" s="4"/>
      <c r="I6" t="s" s="28">
        <v>2</v>
      </c>
      <c r="J6" s="3"/>
      <c r="K6" s="4"/>
    </row>
    <row r="7" ht="21.6" customHeight="1">
      <c r="E7" t="s" s="5">
        <v>3</v>
      </c>
      <c r="F7" s="6">
        <v>250</v>
      </c>
      <c r="G7" t="s" s="7">
        <v>4</v>
      </c>
      <c r="H7" t="s" s="7">
        <f>IF(G7="oz","ozm",IF(G7="tbsp","tbs",IF(G7="fl oz","oz",IF(G7="L","l",IF(G7="mL","ml",IF(G7="lb","lbm",IF(G7="----","F",G7)))))))</f>
        <v>4</v>
      </c>
      <c r="I7" s="8">
        <f>IF(AND(H7="F",K7="F"),F7,CONVERT(F7,H7,K7))*$D$4/$C$4</f>
        <v>132.5</v>
      </c>
      <c r="J7" t="s" s="7">
        <v>4</v>
      </c>
      <c r="K7" t="s" s="7">
        <f>IF(J7="oz","ozm",IF(J7="tbsp","tbs",IF(J7="fl oz","oz",IF(J7="L","l",IF(J7="mL","ml",IF(J7="lb","lbm",IF(J7="----","F",J7)))))))</f>
        <v>4</v>
      </c>
    </row>
    <row r="8" ht="21.25" customHeight="1">
      <c r="E8" t="s" s="9">
        <v>5</v>
      </c>
      <c r="F8" s="10">
        <v>130</v>
      </c>
      <c r="G8" t="s" s="11">
        <v>4</v>
      </c>
      <c r="H8" t="s" s="11">
        <f>IF(G8="oz","ozm",IF(G8="tbsp","tbs",IF(G8="fl oz","oz",IF(G8="L","l",IF(G8="mL","ml",IF(G8="lb","lbm",IF(G8="----","F",G8)))))))</f>
        <v>4</v>
      </c>
      <c r="I8" s="12">
        <f>IF(AND(H8="F",K8="F"),F8,CONVERT(F8,H8,K8))*$D$4/$C$4</f>
        <v>68.90000000000001</v>
      </c>
      <c r="J8" t="s" s="11">
        <v>4</v>
      </c>
      <c r="K8" t="s" s="11">
        <f>IF(J8="oz","ozm",IF(J8="tbsp","tbs",IF(J8="fl oz","oz",IF(J8="L","l",IF(J8="mL","ml",IF(J8="lb","lbm",IF(J8="----","F",J8)))))))</f>
        <v>4</v>
      </c>
    </row>
    <row r="9" ht="21.25" customHeight="1">
      <c r="E9" t="s" s="9">
        <v>15</v>
      </c>
      <c r="F9" s="10">
        <v>30</v>
      </c>
      <c r="G9" t="s" s="11">
        <v>4</v>
      </c>
      <c r="H9" t="s" s="11">
        <f>IF(G9="oz","ozm",IF(G9="tbsp","tbs",IF(G9="fl oz","oz",IF(G9="L","l",IF(G9="mL","ml",IF(G9="lb","lbm",IF(G9="----","F",G9)))))))</f>
        <v>4</v>
      </c>
      <c r="I9" s="12">
        <f>IF(AND(H9="F",K9="F"),F9,CONVERT(F9,H9,K9))*$D$4/$C$4</f>
        <v>15.9</v>
      </c>
      <c r="J9" t="s" s="11">
        <v>4</v>
      </c>
      <c r="K9" t="s" s="11">
        <f>IF(J9="oz","ozm",IF(J9="tbsp","tbs",IF(J9="fl oz","oz",IF(J9="L","l",IF(J9="mL","ml",IF(J9="lb","lbm",IF(J9="----","F",J9)))))))</f>
        <v>4</v>
      </c>
    </row>
    <row r="10" ht="21.25" customHeight="1">
      <c r="E10" t="s" s="9">
        <v>16</v>
      </c>
      <c r="F10" s="10">
        <v>160</v>
      </c>
      <c r="G10" t="s" s="11">
        <v>4</v>
      </c>
      <c r="H10" t="s" s="11">
        <f>IF(G10="oz","ozm",IF(G10="tbsp","tbs",IF(G10="fl oz","oz",IF(G10="L","l",IF(G10="mL","ml",IF(G10="lb","lbm",IF(G10="----","F",G10)))))))</f>
        <v>4</v>
      </c>
      <c r="I10" s="12">
        <f>IF(AND(H10="F",K10="F"),F10,CONVERT(F10,H10,K10))*$D$4/$C$4</f>
        <v>84.8</v>
      </c>
      <c r="J10" t="s" s="11">
        <v>4</v>
      </c>
      <c r="K10" t="s" s="11">
        <f>IF(J10="oz","ozm",IF(J10="tbsp","tbs",IF(J10="fl oz","oz",IF(J10="L","l",IF(J10="mL","ml",IF(J10="lb","lbm",IF(J10="----","F",J10)))))))</f>
        <v>4</v>
      </c>
    </row>
    <row r="11" ht="21.25" customHeight="1">
      <c r="E11" t="s" s="9">
        <v>26</v>
      </c>
      <c r="F11" s="10">
        <v>1</v>
      </c>
      <c r="G11" t="s" s="11">
        <v>10</v>
      </c>
      <c r="H11" t="s" s="11">
        <f>IF(G11="oz","ozm",IF(G11="tbsp","tbs",IF(G11="fl oz","oz",IF(G11="L","l",IF(G11="mL","ml",IF(G11="lb","lbm",IF(G11="----","F",G11)))))))</f>
        <v>10</v>
      </c>
      <c r="I11" s="12">
        <f>IF(AND(H11="F",K11="F"),F11,CONVERT(F11,H11,K11))*$D$4/$C$4</f>
        <v>0.53</v>
      </c>
      <c r="J11" t="s" s="11">
        <v>10</v>
      </c>
      <c r="K11" t="s" s="11">
        <f>IF(J11="oz","ozm",IF(J11="tbsp","tbs",IF(J11="fl oz","oz",IF(J11="L","l",IF(J11="mL","ml",IF(J11="lb","lbm",IF(J11="----","F",J11)))))))</f>
        <v>10</v>
      </c>
    </row>
    <row r="12" ht="21.25" customHeight="1">
      <c r="E12" t="s" s="9">
        <v>6</v>
      </c>
      <c r="F12" s="10">
        <v>120</v>
      </c>
      <c r="G12" t="s" s="11">
        <v>7</v>
      </c>
      <c r="H12" t="s" s="11">
        <f>IF(G12="oz","ozm",IF(G12="tbsp","tbs",IF(G12="fl oz","oz",IF(G12="L","l",IF(G12="mL","ml",IF(G12="lb","lbm",IF(G12="----","F",G12)))))))</f>
        <v>8</v>
      </c>
      <c r="I12" s="12">
        <f>IF(AND(H12="F",K12="F"),F12,CONVERT(F12,H12,K12))*$D$4/$C$4</f>
        <v>63.6</v>
      </c>
      <c r="J12" t="s" s="11">
        <v>7</v>
      </c>
      <c r="K12" t="s" s="11">
        <f>IF(J12="oz","ozm",IF(J12="tbsp","tbs",IF(J12="fl oz","oz",IF(J12="L","l",IF(J12="mL","ml",IF(J12="lb","lbm",IF(J12="----","F",J12)))))))</f>
        <v>8</v>
      </c>
    </row>
    <row r="13" ht="21.6" customHeight="1">
      <c r="E13" t="s" s="13">
        <v>9</v>
      </c>
      <c r="F13" s="14">
        <v>2</v>
      </c>
      <c r="G13" t="s" s="15">
        <v>10</v>
      </c>
      <c r="H13" t="s" s="11">
        <f>IF(G13="oz","ozm",IF(G13="tbsp","tbs",IF(G13="fl oz","oz",IF(G13="L","l",IF(G13="mL","ml",IF(G13="lb","lbm",IF(G13="----","F",G13)))))))</f>
        <v>10</v>
      </c>
      <c r="I13" s="16">
        <f>IF(AND(H13="F",K13="F"),F13,CONVERT(F13,H13,K13))*$D$4/$C$4</f>
        <v>0.3533333333333333</v>
      </c>
      <c r="J13" t="s" s="15">
        <v>18</v>
      </c>
      <c r="K13" t="s" s="11">
        <f>IF(J13="oz","ozm",IF(J13="tbsp","tbs",IF(J13="fl oz","oz",IF(J13="L","l",IF(J13="mL","ml",IF(J13="lb","lbm",IF(J13="----","F",J13)))))))</f>
        <v>19</v>
      </c>
    </row>
    <row r="14" ht="22" customHeight="1">
      <c r="E14" t="s" s="17">
        <v>11</v>
      </c>
      <c r="F14" s="18">
        <v>1</v>
      </c>
      <c r="G14" t="s" s="19">
        <v>10</v>
      </c>
      <c r="H14" t="s" s="15">
        <f>IF(G14="oz","ozm",IF(G14="tbsp","tbs",IF(G14="fl oz","oz",IF(G14="L","l",IF(G14="mL","ml",IF(G14="lb","lbm",IF(G14="----","F",G14)))))))</f>
        <v>10</v>
      </c>
      <c r="I14" s="21">
        <f>IF(AND(H14="F",K14="F"),F14,CONVERT(F14,H14,K14))*$D$4/$C$4</f>
        <v>0.53</v>
      </c>
      <c r="J14" t="s" s="19">
        <v>10</v>
      </c>
      <c r="K14" t="s" s="15">
        <f>IF(J14="oz","ozm",IF(J14="tbsp","tbs",IF(J14="fl oz","oz",IF(J14="L","l",IF(J14="mL","ml",IF(J14="lb","lbm",IF(J14="----","F",J14)))))))</f>
        <v>10</v>
      </c>
    </row>
    <row r="15" ht="22" customHeight="1">
      <c r="E15" s="19"/>
      <c r="F15" s="18"/>
      <c r="G15" s="19"/>
      <c r="H15" t="s" s="19">
        <f>IF(G15="oz","ozm",IF(G15="tbsp","tbs",IF(G15="fl oz","oz",IF(G15="L","l",IF(G15="mL","ml",IF(G15="lb","lbm",IF(G15="----","F",G15)))))))</f>
      </c>
      <c r="I15" s="21"/>
      <c r="J15" s="19"/>
      <c r="K15" t="s" s="19">
        <f>IF(J15="oz","ozm",IF(J15="tbsp","tbs",IF(J15="fl oz","oz",IF(J15="L","l",IF(J15="mL","ml",IF(J15="lb","lbm",IF(J15="----","F",J15)))))))</f>
      </c>
    </row>
  </sheetData>
  <mergeCells count="3">
    <mergeCell ref="B2:D2"/>
    <mergeCell ref="F6:G6"/>
    <mergeCell ref="I6:J6"/>
  </mergeCells>
  <pageMargins left="0.5" right="0.5" top="0.25" bottom="0.5" header="0.25" footer="0.25"/>
  <pageSetup firstPageNumber="1" fitToHeight="1" fitToWidth="1" scale="100" useFirstPageNumber="0" orientation="portrait" pageOrder="downThenOver"/>
  <headerFooter>
    <oddFooter>&amp;C&amp;"Baskerville,Regular"&amp;10&amp;K000000&amp;P</oddFooter>
  </headerFooter>
  <drawing r:id="rId1"/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dimension ref="B3:K15"/>
  <sheetViews>
    <sheetView workbookViewId="0" showGridLines="0" defaultGridColor="1"/>
  </sheetViews>
  <sheetFormatPr defaultColWidth="21" defaultRowHeight="20.55" customHeight="1" outlineLevelRow="0" outlineLevelCol="0"/>
  <cols>
    <col min="1" max="1" width="63.0469" style="35" customWidth="1"/>
    <col min="2" max="2" width="21" style="35" customWidth="1"/>
    <col min="3" max="4" width="18" style="35" customWidth="1"/>
    <col min="5" max="5" width="21" style="36" customWidth="1"/>
    <col min="6" max="7" width="9" style="36" customWidth="1"/>
    <col min="8" max="8" hidden="1" width="21" style="36" customWidth="1"/>
    <col min="9" max="10" width="9" style="36" customWidth="1"/>
    <col min="11" max="11" hidden="1" width="21" style="36" customWidth="1"/>
    <col min="12" max="256" width="21" style="36" customWidth="1"/>
  </cols>
  <sheetData>
    <row r="1" ht="39.25" customHeight="1"/>
    <row r="2" ht="28" customHeight="1">
      <c r="B2" t="s" s="26">
        <v>13</v>
      </c>
      <c r="C2" s="26"/>
      <c r="D2" s="26"/>
    </row>
    <row r="3" ht="19.5" customHeight="1">
      <c r="B3" s="23"/>
      <c r="C3" t="s" s="23">
        <v>14</v>
      </c>
      <c r="D3" t="s" s="23">
        <v>12</v>
      </c>
    </row>
    <row r="4" ht="22" customHeight="1">
      <c r="B4" s="19"/>
      <c r="C4" s="24">
        <v>10</v>
      </c>
      <c r="D4" s="24">
        <v>5.3</v>
      </c>
    </row>
    <row r="6" ht="22.5" customHeight="1">
      <c r="E6" t="s" s="37">
        <v>0</v>
      </c>
      <c r="F6" t="s" s="37">
        <v>1</v>
      </c>
      <c r="G6" s="3"/>
      <c r="H6" s="4"/>
      <c r="I6" t="s" s="37">
        <v>2</v>
      </c>
      <c r="J6" s="3"/>
      <c r="K6" s="4"/>
    </row>
    <row r="7" ht="21.6" customHeight="1">
      <c r="E7" t="s" s="5">
        <v>3</v>
      </c>
      <c r="F7" s="6">
        <v>500</v>
      </c>
      <c r="G7" t="s" s="7">
        <v>4</v>
      </c>
      <c r="H7" t="s" s="7">
        <f>IF(G7="oz","ozm",IF(G7="tbsp","tbs",IF(G7="fl oz","oz",IF(G7="L","l",IF(G7="mL","ml",IF(G7="lb","lbm",IF(G7="----","F",G7)))))))</f>
        <v>4</v>
      </c>
      <c r="I7" s="8">
        <f>IF(AND(H7="F",K7="F"),F7,CONVERT(F7,H7,K7))*$D$4/$C$4</f>
        <v>265</v>
      </c>
      <c r="J7" t="s" s="7">
        <v>4</v>
      </c>
      <c r="K7" t="s" s="7">
        <f>IF(J7="oz","ozm",IF(J7="tbsp","tbs",IF(J7="fl oz","oz",IF(J7="L","l",IF(J7="mL","ml",IF(J7="lb","lbm",IF(J7="----","F",J7)))))))</f>
        <v>4</v>
      </c>
    </row>
    <row r="8" ht="21.25" customHeight="1">
      <c r="E8" t="s" s="9">
        <v>5</v>
      </c>
      <c r="F8" s="10">
        <v>60</v>
      </c>
      <c r="G8" t="s" s="11">
        <v>4</v>
      </c>
      <c r="H8" t="s" s="11">
        <f>IF(G8="oz","ozm",IF(G8="tbsp","tbs",IF(G8="fl oz","oz",IF(G8="L","l",IF(G8="mL","ml",IF(G8="lb","lbm",IF(G8="----","F",G8)))))))</f>
        <v>4</v>
      </c>
      <c r="I8" s="12">
        <f>IF(AND(H8="F",K8="F"),F8,CONVERT(F8,H8,K8))*$D$4/$C$4</f>
        <v>31.8</v>
      </c>
      <c r="J8" t="s" s="11">
        <v>4</v>
      </c>
      <c r="K8" t="s" s="11">
        <f>IF(J8="oz","ozm",IF(J8="tbsp","tbs",IF(J8="fl oz","oz",IF(J8="L","l",IF(J8="mL","ml",IF(J8="lb","lbm",IF(J8="----","F",J8)))))))</f>
        <v>4</v>
      </c>
    </row>
    <row r="9" ht="21.6" customHeight="1">
      <c r="E9" t="s" s="13">
        <v>9</v>
      </c>
      <c r="F9" s="14">
        <v>2</v>
      </c>
      <c r="G9" t="s" s="15">
        <v>10</v>
      </c>
      <c r="H9" t="s" s="11">
        <f>IF(G9="oz","ozm",IF(G9="tbsp","tbs",IF(G9="fl oz","oz",IF(G9="L","l",IF(G9="mL","ml",IF(G9="lb","lbm",IF(G9="----","F",G9)))))))</f>
        <v>10</v>
      </c>
      <c r="I9" s="16">
        <f>IF(AND(H9="F",K9="F"),F9,CONVERT(F9,H9,K9))*$D$4/$C$4</f>
        <v>0.3533333333333333</v>
      </c>
      <c r="J9" t="s" s="15">
        <v>18</v>
      </c>
      <c r="K9" t="s" s="11">
        <f>IF(J9="oz","ozm",IF(J9="tbsp","tbs",IF(J9="fl oz","oz",IF(J9="L","l",IF(J9="mL","ml",IF(J9="lb","lbm",IF(J9="----","F",J9)))))))</f>
        <v>19</v>
      </c>
    </row>
    <row r="10" ht="22" customHeight="1">
      <c r="E10" t="s" s="17">
        <v>27</v>
      </c>
      <c r="F10" s="18">
        <v>100</v>
      </c>
      <c r="G10" t="s" s="19">
        <v>4</v>
      </c>
      <c r="H10" t="s" s="11">
        <f>IF(G10="oz","ozm",IF(G10="tbsp","tbs",IF(G10="fl oz","oz",IF(G10="L","l",IF(G10="mL","ml",IF(G10="lb","lbm",IF(G10="----","F",G10)))))))</f>
        <v>4</v>
      </c>
      <c r="I10" s="21">
        <v>50</v>
      </c>
      <c r="J10" t="s" s="19">
        <v>4</v>
      </c>
      <c r="K10" t="s" s="11">
        <f>IF(J10="oz","ozm",IF(J10="tbsp","tbs",IF(J10="fl oz","oz",IF(J10="L","l",IF(J10="mL","ml",IF(J10="lb","lbm",IF(J10="----","F",J10)))))))</f>
        <v>4</v>
      </c>
    </row>
    <row r="11" ht="22" customHeight="1">
      <c r="E11" t="s" s="17">
        <v>28</v>
      </c>
      <c r="F11" s="18">
        <v>100</v>
      </c>
      <c r="G11" t="s" s="19">
        <v>4</v>
      </c>
      <c r="H11" t="s" s="11">
        <f>IF(G11="oz","ozm",IF(G11="tbsp","tbs",IF(G11="fl oz","oz",IF(G11="L","l",IF(G11="mL","ml",IF(G11="lb","lbm",IF(G11="----","F",G11)))))))</f>
        <v>4</v>
      </c>
      <c r="I11" s="21">
        <f>IF(AND(H11="F",K11="F"),F11,CONVERT(F11,H11,K11))*$D$4/$C$4</f>
        <v>53</v>
      </c>
      <c r="J11" t="s" s="19">
        <v>4</v>
      </c>
      <c r="K11" t="s" s="11">
        <f>IF(J11="oz","ozm",IF(J11="tbsp","tbs",IF(J11="fl oz","oz",IF(J11="L","l",IF(J11="mL","ml",IF(J11="lb","lbm",IF(J11="----","F",J11)))))))</f>
        <v>4</v>
      </c>
    </row>
    <row r="12" ht="21.6" customHeight="1">
      <c r="E12" s="7"/>
      <c r="F12" s="6"/>
      <c r="G12" s="7"/>
      <c r="H12" t="s" s="11">
        <f>IF(G12="oz","ozm",IF(G12="tbsp","tbs",IF(G12="fl oz","oz",IF(G12="L","l",IF(G12="mL","ml",IF(G12="lb","lbm",IF(G12="----","F",G12)))))))</f>
      </c>
      <c r="I12" s="8"/>
      <c r="J12" s="7"/>
      <c r="K12" t="s" s="11">
        <f>IF(J12="oz","ozm",IF(J12="tbsp","tbs",IF(J12="fl oz","oz",IF(J12="L","l",IF(J12="mL","ml",IF(J12="lb","lbm",IF(J12="----","F",J12)))))))</f>
      </c>
    </row>
    <row r="13" ht="21.25" customHeight="1">
      <c r="E13" s="11"/>
      <c r="F13" s="10"/>
      <c r="G13" s="38"/>
      <c r="H13" s="39">
        <f>IF(G13="oz","ozm",IF(G13="tbsp","tbs",IF(G13="fl oz","oz",IF(G13="L","l",IF(G13="mL","ml",IF(G13="lb","lbm",IF(G13="----","F",G13)))))))</f>
        <v>0</v>
      </c>
      <c r="I13" s="12"/>
      <c r="J13" s="38"/>
      <c r="K13" s="39">
        <f>IF(J13="oz","ozm",IF(J13="tbsp","tbs",IF(J13="fl oz","oz",IF(J13="L","l",IF(J13="mL","ml",IF(J13="lb","lbm",IF(J13="----","F",J13)))))))</f>
        <v>0</v>
      </c>
    </row>
    <row r="14" ht="21.6" customHeight="1">
      <c r="E14" s="15"/>
      <c r="F14" s="14"/>
      <c r="G14" s="15"/>
      <c r="H14" t="s" s="15">
        <f>IF(G14="oz","ozm",IF(G14="tbsp","tbs",IF(G14="fl oz","oz",IF(G14="L","l",IF(G14="mL","ml",IF(G14="lb","lbm",IF(G14="----","F",G14)))))))</f>
      </c>
      <c r="I14" s="16"/>
      <c r="J14" s="40"/>
      <c r="K14" s="41">
        <f>IF(J14="oz","ozm",IF(J14="tbsp","tbs",IF(J14="fl oz","oz",IF(J14="L","l",IF(J14="mL","ml",IF(J14="lb","lbm",IF(J14="----","F",J14)))))))</f>
        <v>0</v>
      </c>
    </row>
    <row r="15" ht="22" customHeight="1">
      <c r="E15" s="19"/>
      <c r="F15" s="18"/>
      <c r="G15" s="19"/>
      <c r="H15" t="s" s="19">
        <f>IF(G15="oz","ozm",IF(G15="tbsp","tbs",IF(G15="fl oz","oz",IF(G15="L","l",IF(G15="mL","ml",IF(G15="lb","lbm",IF(G15="----","F",G15)))))))</f>
      </c>
      <c r="I15" s="21"/>
      <c r="J15" s="19"/>
      <c r="K15" t="s" s="19">
        <f>IF(J15="oz","ozm",IF(J15="tbsp","tbs",IF(J15="fl oz","oz",IF(J15="L","l",IF(J15="mL","ml",IF(J15="lb","lbm",IF(J15="----","F",J15)))))))</f>
      </c>
    </row>
  </sheetData>
  <mergeCells count="3">
    <mergeCell ref="B2:D2"/>
    <mergeCell ref="F6:G6"/>
    <mergeCell ref="I6:J6"/>
  </mergeCells>
  <pageMargins left="0.5" right="0.5" top="0.25" bottom="0.5" header="0.25" footer="0.25"/>
  <pageSetup firstPageNumber="1" fitToHeight="1" fitToWidth="1" scale="100" useFirstPageNumber="0" orientation="portrait" pageOrder="downThenOver"/>
  <headerFooter>
    <oddFooter>&amp;C&amp;"Baskerville,Regular"&amp;10&amp;K000000&amp;P</oddFooter>
  </headerFooter>
  <drawing r:id="rId1"/>
</worksheet>
</file>

<file path=xl/worksheets/sheet6.xml><?xml version="1.0" encoding="utf-8"?>
<worksheet xmlns:r="http://schemas.openxmlformats.org/officeDocument/2006/relationships" xmlns="http://schemas.openxmlformats.org/spreadsheetml/2006/main">
  <sheetPr>
    <pageSetUpPr fitToPage="1"/>
  </sheetPr>
  <dimension ref="B3:K15"/>
  <sheetViews>
    <sheetView workbookViewId="0" showGridLines="0" defaultGridColor="1"/>
  </sheetViews>
  <sheetFormatPr defaultColWidth="21" defaultRowHeight="20.55" customHeight="1" outlineLevelRow="0" outlineLevelCol="0"/>
  <cols>
    <col min="1" max="1" width="70.7188" style="42" customWidth="1"/>
    <col min="2" max="2" width="21" style="42" customWidth="1"/>
    <col min="3" max="4" width="18" style="42" customWidth="1"/>
    <col min="5" max="5" width="21" style="43" customWidth="1"/>
    <col min="6" max="7" width="9" style="43" customWidth="1"/>
    <col min="8" max="8" hidden="1" width="21" style="43" customWidth="1"/>
    <col min="9" max="10" width="9" style="43" customWidth="1"/>
    <col min="11" max="11" hidden="1" width="21" style="43" customWidth="1"/>
    <col min="12" max="256" width="21" style="43" customWidth="1"/>
  </cols>
  <sheetData>
    <row r="1" ht="46.5" customHeight="1"/>
    <row r="2" ht="28" customHeight="1">
      <c r="B2" t="s" s="26">
        <v>13</v>
      </c>
      <c r="C2" s="26"/>
      <c r="D2" s="26"/>
    </row>
    <row r="3" ht="19.5" customHeight="1">
      <c r="B3" s="23"/>
      <c r="C3" t="s" s="23">
        <v>14</v>
      </c>
      <c r="D3" t="s" s="23">
        <v>12</v>
      </c>
    </row>
    <row r="4" ht="22" customHeight="1">
      <c r="B4" s="19"/>
      <c r="C4" s="24">
        <v>10</v>
      </c>
      <c r="D4" s="24">
        <v>5.3</v>
      </c>
    </row>
    <row r="6" ht="22.5" customHeight="1">
      <c r="E6" t="s" s="37">
        <v>0</v>
      </c>
      <c r="F6" t="s" s="37">
        <v>1</v>
      </c>
      <c r="G6" s="3"/>
      <c r="H6" s="4"/>
      <c r="I6" t="s" s="37">
        <v>2</v>
      </c>
      <c r="J6" s="3"/>
      <c r="K6" s="4"/>
    </row>
    <row r="7" ht="21.6" customHeight="1">
      <c r="E7" t="s" s="5">
        <v>29</v>
      </c>
      <c r="F7" s="6">
        <v>0.5</v>
      </c>
      <c r="G7" t="s" s="7">
        <v>30</v>
      </c>
      <c r="H7" t="s" s="7">
        <f>IF(G7="oz","ozm",IF(G7="tbsp","tbs",IF(G7="fl oz","oz",IF(G7="L","l",IF(G7="mL","ml",IF(G7="lb","lbm",IF(G7="----","F",G7)))))))</f>
        <v>30</v>
      </c>
      <c r="I7" s="8">
        <f>IF(AND(H7="F",K7="F"),F7,CONVERT(F7,H7,K7))*$D$4/$C$4</f>
        <v>0.265</v>
      </c>
      <c r="J7" t="s" s="7">
        <v>30</v>
      </c>
      <c r="K7" t="s" s="7">
        <f>IF(J7="oz","ozm",IF(J7="tbsp","tbs",IF(J7="fl oz","oz",IF(J7="L","l",IF(J7="mL","ml",IF(J7="lb","lbm",IF(J7="----","F",J7)))))))</f>
        <v>30</v>
      </c>
    </row>
    <row r="8" ht="21.25" customHeight="1">
      <c r="E8" t="s" s="9">
        <v>5</v>
      </c>
      <c r="F8" s="10">
        <v>0.75</v>
      </c>
      <c r="G8" t="s" s="11">
        <v>30</v>
      </c>
      <c r="H8" t="s" s="11">
        <f>IF(G8="oz","ozm",IF(G8="tbsp","tbs",IF(G8="fl oz","oz",IF(G8="L","l",IF(G8="mL","ml",IF(G8="lb","lbm",IF(G8="----","F",G8)))))))</f>
        <v>30</v>
      </c>
      <c r="I8" s="12">
        <f>IF(AND(H8="F",K8="F"),F8,CONVERT(F8,H8,K8))*$D$4/$C$4</f>
        <v>0.3974999999999999</v>
      </c>
      <c r="J8" t="s" s="11">
        <v>30</v>
      </c>
      <c r="K8" t="s" s="11">
        <f>IF(J8="oz","ozm",IF(J8="tbsp","tbs",IF(J8="fl oz","oz",IF(J8="L","l",IF(J8="mL","ml",IF(J8="lb","lbm",IF(J8="----","F",J8)))))))</f>
        <v>30</v>
      </c>
    </row>
    <row r="9" ht="21.25" customHeight="1">
      <c r="E9" t="s" s="9">
        <v>31</v>
      </c>
      <c r="F9" s="10">
        <v>0.5</v>
      </c>
      <c r="G9" t="s" s="11">
        <v>30</v>
      </c>
      <c r="H9" t="s" s="11">
        <f>IF(G9="oz","ozm",IF(G9="tbsp","tbs",IF(G9="fl oz","oz",IF(G9="L","l",IF(G9="mL","ml",IF(G9="lb","lbm",IF(G9="----","F",G9)))))))</f>
        <v>30</v>
      </c>
      <c r="I9" s="12">
        <f>IF(AND(H9="F",K9="F"),F9,CONVERT(F9,H9,K9))*$D$4/$C$4</f>
        <v>0.265</v>
      </c>
      <c r="J9" t="s" s="11">
        <v>30</v>
      </c>
      <c r="K9" t="s" s="11">
        <f>IF(J9="oz","ozm",IF(J9="tbsp","tbs",IF(J9="fl oz","oz",IF(J9="L","l",IF(J9="mL","ml",IF(J9="lb","lbm",IF(J9="----","F",J9)))))))</f>
        <v>30</v>
      </c>
    </row>
    <row r="10" ht="21.25" customHeight="1">
      <c r="E10" t="s" s="9">
        <v>16</v>
      </c>
      <c r="F10" s="10">
        <v>100</v>
      </c>
      <c r="G10" t="s" s="11">
        <v>4</v>
      </c>
      <c r="H10" t="s" s="11">
        <f>IF(G10="oz","ozm",IF(G10="tbsp","tbs",IF(G10="fl oz","oz",IF(G10="L","l",IF(G10="mL","ml",IF(G10="lb","lbm",IF(G10="----","F",G10)))))))</f>
        <v>4</v>
      </c>
      <c r="I10" s="12">
        <f>IF(AND(H10="F",K10="F"),F10,CONVERT(F10,H10,K10))*$D$4/$C$4</f>
        <v>53</v>
      </c>
      <c r="J10" t="s" s="11">
        <v>4</v>
      </c>
      <c r="K10" t="s" s="11">
        <f>IF(J10="oz","ozm",IF(J10="tbsp","tbs",IF(J10="fl oz","oz",IF(J10="L","l",IF(J10="mL","ml",IF(J10="lb","lbm",IF(J10="----","F",J10)))))))</f>
        <v>4</v>
      </c>
    </row>
    <row r="11" ht="21.25" customHeight="1">
      <c r="E11" t="s" s="9">
        <v>32</v>
      </c>
      <c r="F11" s="10">
        <v>1</v>
      </c>
      <c r="G11" t="s" s="11">
        <v>18</v>
      </c>
      <c r="H11" t="s" s="11">
        <f>IF(G11="oz","ozm",IF(G11="tbsp","tbs",IF(G11="fl oz","oz",IF(G11="L","l",IF(G11="mL","ml",IF(G11="lb","lbm",IF(G11="----","F",G11)))))))</f>
        <v>19</v>
      </c>
      <c r="I11" s="12">
        <f>IF(AND(H11="F",K11="F"),F11,CONVERT(F11,H11,K11))*$D$4/$C$4</f>
        <v>0.53</v>
      </c>
      <c r="J11" t="s" s="11">
        <v>18</v>
      </c>
      <c r="K11" t="s" s="11">
        <f>IF(J11="oz","ozm",IF(J11="tbsp","tbs",IF(J11="fl oz","oz",IF(J11="L","l",IF(J11="mL","ml",IF(J11="lb","lbm",IF(J11="----","F",J11)))))))</f>
        <v>19</v>
      </c>
    </row>
    <row r="12" ht="21.25" customHeight="1">
      <c r="E12" t="s" s="9">
        <v>6</v>
      </c>
      <c r="F12" s="10">
        <v>120</v>
      </c>
      <c r="G12" t="s" s="11">
        <v>7</v>
      </c>
      <c r="H12" t="s" s="11">
        <f>IF(G12="oz","ozm",IF(G12="tbsp","tbs",IF(G12="fl oz","oz",IF(G12="L","l",IF(G12="mL","ml",IF(G12="lb","lbm",IF(G12="----","F",G12)))))))</f>
        <v>8</v>
      </c>
      <c r="I12" s="12">
        <f>IF(AND(H12="F",K12="F"),F12,CONVERT(F12,H12,K12))*$D$4/$C$4</f>
        <v>63.6</v>
      </c>
      <c r="J12" t="s" s="11">
        <v>7</v>
      </c>
      <c r="K12" t="s" s="11">
        <f>IF(J12="oz","ozm",IF(J12="tbsp","tbs",IF(J12="fl oz","oz",IF(J12="L","l",IF(J12="mL","ml",IF(J12="lb","lbm",IF(J12="----","F",J12)))))))</f>
        <v>8</v>
      </c>
    </row>
    <row r="13" ht="21.25" customHeight="1">
      <c r="E13" t="s" s="9">
        <v>33</v>
      </c>
      <c r="F13" s="10">
        <v>1</v>
      </c>
      <c r="G13" t="s" s="11">
        <v>18</v>
      </c>
      <c r="H13" t="s" s="11">
        <f>IF(G13="oz","ozm",IF(G13="tbsp","tbs",IF(G13="fl oz","oz",IF(G13="L","l",IF(G13="mL","ml",IF(G13="lb","lbm",IF(G13="----","F",G13)))))))</f>
        <v>19</v>
      </c>
      <c r="I13" s="12">
        <f>IF(AND(H13="F",K13="F"),F13,CONVERT(F13,H13,K13))*$D$4/$C$4</f>
        <v>0.53</v>
      </c>
      <c r="J13" t="s" s="11">
        <v>18</v>
      </c>
      <c r="K13" t="s" s="11">
        <f>IF(J13="oz","ozm",IF(J13="tbsp","tbs",IF(J13="fl oz","oz",IF(J13="L","l",IF(J13="mL","ml",IF(J13="lb","lbm",IF(J13="----","F",J13)))))))</f>
        <v>19</v>
      </c>
    </row>
    <row r="14" ht="21.6" customHeight="1">
      <c r="E14" t="s" s="13">
        <v>9</v>
      </c>
      <c r="F14" s="14">
        <v>1</v>
      </c>
      <c r="G14" t="s" s="15">
        <v>18</v>
      </c>
      <c r="H14" t="s" s="15">
        <f>IF(G14="oz","ozm",IF(G14="tbsp","tbs",IF(G14="fl oz","oz",IF(G14="L","l",IF(G14="mL","ml",IF(G14="lb","lbm",IF(G14="----","F",G14)))))))</f>
        <v>19</v>
      </c>
      <c r="I14" s="16">
        <f>IF(AND(H14="F",K14="F"),F14,CONVERT(F14,H14,K14))*$D$4/$C$4</f>
        <v>0.53</v>
      </c>
      <c r="J14" t="s" s="15">
        <v>18</v>
      </c>
      <c r="K14" t="s" s="15">
        <f>IF(J14="oz","ozm",IF(J14="tbsp","tbs",IF(J14="fl oz","oz",IF(J14="L","l",IF(J14="mL","ml",IF(J14="lb","lbm",IF(J14="----","F",J14)))))))</f>
        <v>19</v>
      </c>
    </row>
    <row r="15" ht="22" customHeight="1">
      <c r="E15" t="s" s="17">
        <v>24</v>
      </c>
      <c r="F15" s="18">
        <v>1</v>
      </c>
      <c r="G15" t="s" s="19">
        <v>10</v>
      </c>
      <c r="H15" t="s" s="19">
        <f>IF(G15="oz","ozm",IF(G15="tbsp","tbs",IF(G15="fl oz","oz",IF(G15="L","l",IF(G15="mL","ml",IF(G15="lb","lbm",IF(G15="----","F",G15)))))))</f>
        <v>10</v>
      </c>
      <c r="I15" s="21">
        <f>IF(AND(H15="F",K15="F"),F15,CONVERT(F15,H15,K15))*$D$4/$C$4</f>
        <v>0.53</v>
      </c>
      <c r="J15" t="s" s="19">
        <v>10</v>
      </c>
      <c r="K15" t="s" s="19">
        <f>IF(J15="oz","ozm",IF(J15="tbsp","tbs",IF(J15="fl oz","oz",IF(J15="L","l",IF(J15="mL","ml",IF(J15="lb","lbm",IF(J15="----","F",J15)))))))</f>
        <v>10</v>
      </c>
    </row>
  </sheetData>
  <mergeCells count="3">
    <mergeCell ref="B2:D2"/>
    <mergeCell ref="F6:G6"/>
    <mergeCell ref="I6:J6"/>
  </mergeCells>
  <pageMargins left="0.5" right="0.5" top="0.25" bottom="0.5" header="0.25" footer="0.25"/>
  <pageSetup firstPageNumber="1" fitToHeight="1" fitToWidth="1" scale="100" useFirstPageNumber="0" orientation="portrait" pageOrder="downThenOver"/>
  <headerFooter>
    <oddFooter>&amp;C&amp;"Baskerville,Regular"&amp;10&amp;K000000&amp;P</oddFooter>
  </headerFooter>
  <drawing r:id="rId1"/>
</worksheet>
</file>

<file path=xl/worksheets/sheet7.xml><?xml version="1.0" encoding="utf-8"?>
<worksheet xmlns:r="http://schemas.openxmlformats.org/officeDocument/2006/relationships" xmlns="http://schemas.openxmlformats.org/spreadsheetml/2006/main">
  <sheetPr>
    <pageSetUpPr fitToPage="1"/>
  </sheetPr>
  <dimension ref="B3:K19"/>
  <sheetViews>
    <sheetView workbookViewId="0" showGridLines="0" defaultGridColor="1"/>
  </sheetViews>
  <sheetFormatPr defaultColWidth="21" defaultRowHeight="20.55" customHeight="1" outlineLevelRow="0" outlineLevelCol="0"/>
  <cols>
    <col min="1" max="1" width="68" style="44" customWidth="1"/>
    <col min="2" max="2" width="21" style="44" customWidth="1"/>
    <col min="3" max="4" width="18" style="44" customWidth="1"/>
    <col min="5" max="5" width="21" style="45" customWidth="1"/>
    <col min="6" max="7" width="9" style="45" customWidth="1"/>
    <col min="8" max="8" hidden="1" width="21" style="45" customWidth="1"/>
    <col min="9" max="10" width="9" style="45" customWidth="1"/>
    <col min="11" max="11" hidden="1" width="21" style="45" customWidth="1"/>
    <col min="12" max="256" width="21" style="45" customWidth="1"/>
  </cols>
  <sheetData>
    <row r="1" ht="33.25" customHeight="1"/>
    <row r="2" ht="28" customHeight="1">
      <c r="B2" t="s" s="26">
        <v>13</v>
      </c>
      <c r="C2" s="26"/>
      <c r="D2" s="26"/>
    </row>
    <row r="3" ht="19.5" customHeight="1">
      <c r="B3" s="23"/>
      <c r="C3" t="s" s="23">
        <v>14</v>
      </c>
      <c r="D3" t="s" s="23">
        <v>12</v>
      </c>
    </row>
    <row r="4" ht="22" customHeight="1">
      <c r="B4" s="19"/>
      <c r="C4" s="24">
        <v>10</v>
      </c>
      <c r="D4" s="24">
        <v>5.3</v>
      </c>
    </row>
    <row r="6" ht="22.5" customHeight="1">
      <c r="E6" t="s" s="37">
        <v>0</v>
      </c>
      <c r="F6" t="s" s="37">
        <v>1</v>
      </c>
      <c r="G6" s="3"/>
      <c r="H6" s="4"/>
      <c r="I6" t="s" s="37">
        <v>2</v>
      </c>
      <c r="J6" s="3"/>
      <c r="K6" s="4"/>
    </row>
    <row r="7" ht="21.6" customHeight="1">
      <c r="E7" t="s" s="5">
        <v>29</v>
      </c>
      <c r="F7" s="6">
        <v>0.5</v>
      </c>
      <c r="G7" t="s" s="7">
        <v>30</v>
      </c>
      <c r="H7" t="s" s="7">
        <f>IF(G7="oz","ozm",IF(G7="tbsp","tbs",IF(G7="fl oz","oz",IF(G7="L","l",IF(G7="mL","ml",IF(G7="lb","lbm",IF(G7="----","F",G7)))))))</f>
        <v>30</v>
      </c>
      <c r="I7" s="8">
        <f>IF(AND(H7="F",K7="F"),F7,CONVERT(F7,H7,K7))*$D$4/$C$4</f>
        <v>0.265</v>
      </c>
      <c r="J7" t="s" s="7">
        <v>30</v>
      </c>
      <c r="K7" t="s" s="7">
        <f>IF(J7="oz","ozm",IF(J7="tbsp","tbs",IF(J7="fl oz","oz",IF(J7="L","l",IF(J7="mL","ml",IF(J7="lb","lbm",IF(J7="----","F",J7)))))))</f>
        <v>30</v>
      </c>
    </row>
    <row r="8" ht="21.25" customHeight="1">
      <c r="E8" t="s" s="9">
        <v>5</v>
      </c>
      <c r="F8" s="10">
        <v>1</v>
      </c>
      <c r="G8" t="s" s="11">
        <v>30</v>
      </c>
      <c r="H8" t="s" s="11">
        <f>IF(G8="oz","ozm",IF(G8="tbsp","tbs",IF(G8="fl oz","oz",IF(G8="L","l",IF(G8="mL","ml",IF(G8="lb","lbm",IF(G8="----","F",G8)))))))</f>
        <v>30</v>
      </c>
      <c r="I8" s="12">
        <f>IF(AND(H8="F",K8="F"),F8,CONVERT(F8,H8,K8))*$D$4/$C$4</f>
        <v>0.53</v>
      </c>
      <c r="J8" t="s" s="11">
        <v>30</v>
      </c>
      <c r="K8" t="s" s="11">
        <f>IF(J8="oz","ozm",IF(J8="tbsp","tbs",IF(J8="fl oz","oz",IF(J8="L","l",IF(J8="mL","ml",IF(J8="lb","lbm",IF(J8="----","F",J8)))))))</f>
        <v>30</v>
      </c>
    </row>
    <row r="9" ht="21.25" customHeight="1">
      <c r="E9" t="s" s="9">
        <v>31</v>
      </c>
      <c r="F9" s="10">
        <v>0.75</v>
      </c>
      <c r="G9" t="s" s="11">
        <v>30</v>
      </c>
      <c r="H9" t="s" s="11">
        <f>IF(G9="oz","ozm",IF(G9="tbsp","tbs",IF(G9="fl oz","oz",IF(G9="L","l",IF(G9="mL","ml",IF(G9="lb","lbm",IF(G9="----","F",G9)))))))</f>
        <v>30</v>
      </c>
      <c r="I9" s="12">
        <f>IF(AND(H9="F",K9="F"),F9,CONVERT(F9,H9,K9))*$D$4/$C$4</f>
        <v>0.3974999999999999</v>
      </c>
      <c r="J9" t="s" s="11">
        <v>30</v>
      </c>
      <c r="K9" t="s" s="11">
        <f>IF(J9="oz","ozm",IF(J9="tbsp","tbs",IF(J9="fl oz","oz",IF(J9="L","l",IF(J9="mL","ml",IF(J9="lb","lbm",IF(J9="----","F",J9)))))))</f>
        <v>30</v>
      </c>
    </row>
    <row r="10" ht="21.25" customHeight="1">
      <c r="E10" t="s" s="9">
        <v>16</v>
      </c>
      <c r="F10" s="10">
        <v>100</v>
      </c>
      <c r="G10" t="s" s="11">
        <v>4</v>
      </c>
      <c r="H10" t="s" s="11">
        <f>IF(G10="oz","ozm",IF(G10="tbsp","tbs",IF(G10="fl oz","oz",IF(G10="L","l",IF(G10="mL","ml",IF(G10="lb","lbm",IF(G10="----","F",G10)))))))</f>
        <v>4</v>
      </c>
      <c r="I10" s="12">
        <f>IF(AND(H10="F",K10="F"),F10,CONVERT(F10,H10,K10))*$D$4/$C$4</f>
        <v>53</v>
      </c>
      <c r="J10" t="s" s="11">
        <v>4</v>
      </c>
      <c r="K10" t="s" s="11">
        <f>IF(J10="oz","ozm",IF(J10="tbsp","tbs",IF(J10="fl oz","oz",IF(J10="L","l",IF(J10="mL","ml",IF(J10="lb","lbm",IF(J10="----","F",J10)))))))</f>
        <v>4</v>
      </c>
    </row>
    <row r="11" ht="21.25" customHeight="1">
      <c r="E11" t="s" s="9">
        <v>32</v>
      </c>
      <c r="F11" s="10">
        <v>1</v>
      </c>
      <c r="G11" t="s" s="11">
        <v>18</v>
      </c>
      <c r="H11" t="s" s="11">
        <f>IF(G11="oz","ozm",IF(G11="tbsp","tbs",IF(G11="fl oz","oz",IF(G11="L","l",IF(G11="mL","ml",IF(G11="lb","lbm",IF(G11="----","F",G11)))))))</f>
        <v>19</v>
      </c>
      <c r="I11" s="12">
        <f>IF(AND(H11="F",K11="F"),F11,CONVERT(F11,H11,K11))*$D$4/$C$4</f>
        <v>0.53</v>
      </c>
      <c r="J11" t="s" s="11">
        <v>18</v>
      </c>
      <c r="K11" t="s" s="11">
        <f>IF(J11="oz","ozm",IF(J11="tbsp","tbs",IF(J11="fl oz","oz",IF(J11="L","l",IF(J11="mL","ml",IF(J11="lb","lbm",IF(J11="----","F",J11)))))))</f>
        <v>19</v>
      </c>
    </row>
    <row r="12" ht="21.25" customHeight="1">
      <c r="E12" t="s" s="9">
        <v>6</v>
      </c>
      <c r="F12" s="10">
        <v>120</v>
      </c>
      <c r="G12" t="s" s="11">
        <v>7</v>
      </c>
      <c r="H12" t="s" s="11">
        <f>IF(G12="oz","ozm",IF(G12="tbsp","tbs",IF(G12="fl oz","oz",IF(G12="L","l",IF(G12="mL","ml",IF(G12="lb","lbm",IF(G12="----","F",G12)))))))</f>
        <v>8</v>
      </c>
      <c r="I12" s="12">
        <f>IF(AND(H12="F",K12="F"),F12,CONVERT(F12,H12,K12))*$D$4/$C$4</f>
        <v>63.6</v>
      </c>
      <c r="J12" t="s" s="11">
        <v>7</v>
      </c>
      <c r="K12" t="s" s="11">
        <f>IF(J12="oz","ozm",IF(J12="tbsp","tbs",IF(J12="fl oz","oz",IF(J12="L","l",IF(J12="mL","ml",IF(J12="lb","lbm",IF(J12="----","F",J12)))))))</f>
        <v>8</v>
      </c>
    </row>
    <row r="13" ht="34.25" customHeight="1">
      <c r="E13" t="s" s="9">
        <v>20</v>
      </c>
      <c r="F13" s="10">
        <v>1</v>
      </c>
      <c r="G13" t="s" s="11">
        <v>18</v>
      </c>
      <c r="H13" t="s" s="11">
        <f>IF(G13="oz","ozm",IF(G13="tbsp","tbs",IF(G13="fl oz","oz",IF(G13="L","l",IF(G13="mL","ml",IF(G13="lb","lbm",IF(G13="----","F",G13)))))))</f>
        <v>19</v>
      </c>
      <c r="I13" s="12">
        <f>IF(AND(H13="F",K13="F"),F13,CONVERT(F13,H13,K13))*$D$4/$C$4</f>
        <v>0.53</v>
      </c>
      <c r="J13" t="s" s="11">
        <v>18</v>
      </c>
      <c r="K13" t="s" s="11">
        <f>IF(J13="oz","ozm",IF(J13="tbsp","tbs",IF(J13="fl oz","oz",IF(J13="L","l",IF(J13="mL","ml",IF(J13="lb","lbm",IF(J13="----","F",J13)))))))</f>
        <v>19</v>
      </c>
    </row>
    <row r="14" ht="21.6" customHeight="1">
      <c r="E14" t="s" s="13">
        <v>34</v>
      </c>
      <c r="F14" s="14">
        <v>40</v>
      </c>
      <c r="G14" t="s" s="15">
        <v>4</v>
      </c>
      <c r="H14" t="s" s="15">
        <f>IF(G14="oz","ozm",IF(G14="tbsp","tbs",IF(G14="fl oz","oz",IF(G14="L","l",IF(G14="mL","ml",IF(G14="lb","lbm",IF(G14="----","F",G14)))))))</f>
        <v>4</v>
      </c>
      <c r="I14" s="16">
        <v>25</v>
      </c>
      <c r="J14" t="s" s="15">
        <v>4</v>
      </c>
      <c r="K14" t="s" s="15">
        <f>IF(J14="oz","ozm",IF(J14="tbsp","tbs",IF(J14="fl oz","oz",IF(J14="L","l",IF(J14="mL","ml",IF(J14="lb","lbm",IF(J14="----","F",J14)))))))</f>
        <v>4</v>
      </c>
    </row>
    <row r="15" ht="22" customHeight="1">
      <c r="E15" t="s" s="17">
        <v>9</v>
      </c>
      <c r="F15" s="18">
        <v>1</v>
      </c>
      <c r="G15" t="s" s="19">
        <v>18</v>
      </c>
      <c r="H15" t="s" s="19">
        <f>IF(G15="oz","ozm",IF(G15="tbsp","tbs",IF(G15="fl oz","oz",IF(G15="L","l",IF(G15="mL","ml",IF(G15="lb","lbm",IF(G15="----","F",G15)))))))</f>
        <v>19</v>
      </c>
      <c r="I15" s="21">
        <f>IF(AND(H15="F",K15="F"),F15,CONVERT(F15,H15,K15))*$D$4/$C$4</f>
        <v>0.53</v>
      </c>
      <c r="J15" t="s" s="19">
        <v>18</v>
      </c>
      <c r="K15" t="s" s="19">
        <f>IF(J15="oz","ozm",IF(J15="tbsp","tbs",IF(J15="fl oz","oz",IF(J15="L","l",IF(J15="mL","ml",IF(J15="lb","lbm",IF(J15="----","F",J15)))))))</f>
        <v>19</v>
      </c>
    </row>
    <row r="16" ht="22" customHeight="1">
      <c r="E16" t="s" s="17">
        <v>24</v>
      </c>
      <c r="F16" s="18">
        <v>1</v>
      </c>
      <c r="G16" t="s" s="19">
        <v>10</v>
      </c>
      <c r="H16" t="s" s="19">
        <f>IF(G16="oz","ozm",IF(G16="tbsp","tbs",IF(G16="fl oz","oz",IF(G16="L","l",IF(G16="mL","ml",IF(G16="lb","lbm",IF(G16="----","F",G16)))))))</f>
        <v>10</v>
      </c>
      <c r="I16" s="21">
        <f>IF(AND(H16="F",K16="F"),F16,CONVERT(F16,H16,K16))*$D$4/$C$4</f>
        <v>0.53</v>
      </c>
      <c r="J16" t="s" s="19">
        <v>10</v>
      </c>
      <c r="K16" t="s" s="19">
        <f>IF(J16="oz","ozm",IF(J16="tbsp","tbs",IF(J16="fl oz","oz",IF(J16="L","l",IF(J16="mL","ml",IF(J16="lb","lbm",IF(J16="----","F",J16)))))))</f>
        <v>10</v>
      </c>
    </row>
    <row r="17" ht="22" customHeight="1">
      <c r="E17" t="s" s="17">
        <v>35</v>
      </c>
      <c r="F17" s="18">
        <v>1</v>
      </c>
      <c r="G17" t="s" s="19">
        <v>10</v>
      </c>
      <c r="H17" t="s" s="19">
        <f>IF(G17="oz","ozm",IF(G17="tbsp","tbs",IF(G17="fl oz","oz",IF(G17="L","l",IF(G17="mL","ml",IF(G17="lb","lbm",IF(G17="----","F",G17)))))))</f>
        <v>10</v>
      </c>
      <c r="I17" s="21">
        <f>IF(AND(H17="F",K17="F"),F17,CONVERT(F17,H17,K17))*$D$4/$C$4</f>
        <v>0.53</v>
      </c>
      <c r="J17" t="s" s="19">
        <v>10</v>
      </c>
      <c r="K17" t="s" s="19">
        <f>IF(J17="oz","ozm",IF(J17="tbsp","tbs",IF(J17="fl oz","oz",IF(J17="L","l",IF(J17="mL","ml",IF(J17="lb","lbm",IF(J17="----","F",J17)))))))</f>
        <v>10</v>
      </c>
    </row>
    <row r="18" ht="22" customHeight="1">
      <c r="E18" s="19"/>
      <c r="F18" s="18"/>
      <c r="G18" s="19"/>
      <c r="H18" t="s" s="19">
        <f>IF(G18="oz","ozm",IF(G18="tbsp","tbs",IF(G18="fl oz","oz",IF(G18="L","l",IF(G18="mL","ml",IF(G18="lb","lbm",IF(G18="----","F",G18)))))))</f>
      </c>
      <c r="I18" s="21"/>
      <c r="J18" s="46"/>
      <c r="K18" s="47">
        <f>IF(J18="oz","ozm",IF(J18="tbsp","tbs",IF(J18="fl oz","oz",IF(J18="L","l",IF(J18="mL","ml",IF(J18="lb","lbm",IF(J18="----","F",J18)))))))</f>
        <v>0</v>
      </c>
    </row>
    <row r="19" ht="22" customHeight="1">
      <c r="E19" s="19"/>
      <c r="F19" s="18"/>
      <c r="G19" s="19"/>
      <c r="H19" t="s" s="19">
        <f>IF(G19="oz","ozm",IF(G19="tbsp","tbs",IF(G19="fl oz","oz",IF(G19="L","l",IF(G19="mL","ml",IF(G19="lb","lbm",IF(G19="----","F",G19)))))))</f>
      </c>
      <c r="I19" s="21"/>
      <c r="J19" s="19"/>
      <c r="K19" t="s" s="19">
        <f>IF(J19="oz","ozm",IF(J19="tbsp","tbs",IF(J19="fl oz","oz",IF(J19="L","l",IF(J19="mL","ml",IF(J19="lb","lbm",IF(J19="----","F",J19)))))))</f>
      </c>
    </row>
  </sheetData>
  <mergeCells count="3">
    <mergeCell ref="B2:D2"/>
    <mergeCell ref="F6:G6"/>
    <mergeCell ref="I6:J6"/>
  </mergeCells>
  <pageMargins left="0.5" right="0.5" top="0.25" bottom="0.5" header="0.25" footer="0.25"/>
  <pageSetup firstPageNumber="1" fitToHeight="1" fitToWidth="1" scale="100" useFirstPageNumber="0" orientation="portrait" pageOrder="downThenOver"/>
  <headerFooter>
    <oddFooter>&amp;C&amp;"Baskerville,Regular"&amp;10&amp;K000000&amp;P</oddFooter>
  </headerFooter>
  <drawing r:id="rId1"/>
</worksheet>
</file>

<file path=xl/worksheets/sheet8.xml><?xml version="1.0" encoding="utf-8"?>
<worksheet xmlns:r="http://schemas.openxmlformats.org/officeDocument/2006/relationships" xmlns="http://schemas.openxmlformats.org/spreadsheetml/2006/main">
  <sheetPr>
    <pageSetUpPr fitToPage="1"/>
  </sheetPr>
  <dimension ref="B3:K22"/>
  <sheetViews>
    <sheetView workbookViewId="0" showGridLines="0" defaultGridColor="1"/>
  </sheetViews>
  <sheetFormatPr defaultColWidth="21" defaultRowHeight="20.55" customHeight="1" outlineLevelRow="0" outlineLevelCol="0"/>
  <cols>
    <col min="1" max="1" width="56.9375" style="48" customWidth="1"/>
    <col min="2" max="2" width="21" style="48" customWidth="1"/>
    <col min="3" max="4" width="18" style="48" customWidth="1"/>
    <col min="5" max="5" width="21" style="49" customWidth="1"/>
    <col min="6" max="7" width="9" style="49" customWidth="1"/>
    <col min="8" max="8" hidden="1" width="21" style="49" customWidth="1"/>
    <col min="9" max="10" width="9" style="49" customWidth="1"/>
    <col min="11" max="11" hidden="1" width="21" style="49" customWidth="1"/>
    <col min="12" max="256" width="21" style="49" customWidth="1"/>
  </cols>
  <sheetData>
    <row r="1" ht="24.3" customHeight="1"/>
    <row r="2" ht="28" customHeight="1">
      <c r="B2" t="s" s="26">
        <v>13</v>
      </c>
      <c r="C2" s="26"/>
      <c r="D2" s="26"/>
    </row>
    <row r="3" ht="19.5" customHeight="1">
      <c r="B3" s="23"/>
      <c r="C3" t="s" s="23">
        <v>14</v>
      </c>
      <c r="D3" t="s" s="23">
        <v>12</v>
      </c>
    </row>
    <row r="4" ht="22" customHeight="1">
      <c r="B4" s="19"/>
      <c r="C4" s="24">
        <v>10</v>
      </c>
      <c r="D4" s="24">
        <v>5.3</v>
      </c>
    </row>
    <row r="6" ht="22.5" customHeight="1">
      <c r="E6" t="s" s="37">
        <v>0</v>
      </c>
      <c r="F6" t="s" s="37">
        <v>1</v>
      </c>
      <c r="G6" s="3"/>
      <c r="H6" s="4"/>
      <c r="I6" t="s" s="37">
        <v>2</v>
      </c>
      <c r="J6" s="3"/>
      <c r="K6" s="4"/>
    </row>
    <row r="7" ht="21.6" customHeight="1">
      <c r="E7" t="s" s="5">
        <v>36</v>
      </c>
      <c r="F7" s="6">
        <v>2</v>
      </c>
      <c r="G7" t="s" s="7">
        <v>37</v>
      </c>
      <c r="H7" t="s" s="7">
        <f>IF(G7="oz","ozm",IF(G7="tbsp","tbs",IF(G7="fl oz","oz",IF(G7="L","l",IF(G7="mL","ml",IF(G7="lb","lbm",IF(G7="----","F",G7)))))))</f>
        <v>37</v>
      </c>
      <c r="I7" s="8">
        <f>IF(AND(H7="F",K7="F"),F7,CONVERT(F7,H7,K7))*$D$4/$C$4</f>
        <v>1.06</v>
      </c>
      <c r="J7" t="s" s="7">
        <v>37</v>
      </c>
      <c r="K7" t="s" s="7">
        <f>IF(J7="oz","ozm",IF(J7="tbsp","tbs",IF(J7="fl oz","oz",IF(J7="L","l",IF(J7="mL","ml",IF(J7="lb","lbm",IF(J7="----","F",J7)))))))</f>
        <v>37</v>
      </c>
    </row>
    <row r="8" ht="21.25" customHeight="1">
      <c r="E8" t="s" s="9">
        <v>5</v>
      </c>
      <c r="F8" s="10">
        <v>600</v>
      </c>
      <c r="G8" t="s" s="11">
        <v>4</v>
      </c>
      <c r="H8" t="s" s="11">
        <f>IF(G8="oz","ozm",IF(G8="tbsp","tbs",IF(G8="fl oz","oz",IF(G8="L","l",IF(G8="mL","ml",IF(G8="lb","lbm",IF(G8="----","F",G8)))))))</f>
        <v>4</v>
      </c>
      <c r="I8" s="12">
        <f>IF(AND(H8="F",K8="F"),F8,CONVERT(F8,H8,K8))*$D$4/$C$4</f>
        <v>318</v>
      </c>
      <c r="J8" t="s" s="11">
        <v>4</v>
      </c>
      <c r="K8" t="s" s="11">
        <f>IF(J8="oz","ozm",IF(J8="tbsp","tbs",IF(J8="fl oz","oz",IF(J8="L","l",IF(J8="mL","ml",IF(J8="lb","lbm",IF(J8="----","F",J8)))))))</f>
        <v>4</v>
      </c>
    </row>
    <row r="9" ht="21.25" customHeight="1">
      <c r="E9" t="s" s="9">
        <v>31</v>
      </c>
      <c r="F9" s="10">
        <v>3</v>
      </c>
      <c r="G9" t="s" s="11">
        <v>18</v>
      </c>
      <c r="H9" t="s" s="11">
        <f>IF(G9="oz","ozm",IF(G9="tbsp","tbs",IF(G9="fl oz","oz",IF(G9="L","l",IF(G9="mL","ml",IF(G9="lb","lbm",IF(G9="----","F",G9)))))))</f>
        <v>19</v>
      </c>
      <c r="I9" s="12">
        <f>IF(AND(H9="F",K9="F"),F9,CONVERT(F9,H9,K9))*$D$4/$C$4</f>
        <v>1.59</v>
      </c>
      <c r="J9" t="s" s="11">
        <v>18</v>
      </c>
      <c r="K9" t="s" s="11">
        <f>IF(J9="oz","ozm",IF(J9="tbsp","tbs",IF(J9="fl oz","oz",IF(J9="L","l",IF(J9="mL","ml",IF(J9="lb","lbm",IF(J9="----","F",J9)))))))</f>
        <v>19</v>
      </c>
    </row>
    <row r="10" ht="21.25" customHeight="1">
      <c r="E10" t="s" s="9">
        <v>16</v>
      </c>
      <c r="F10" s="10">
        <v>250</v>
      </c>
      <c r="G10" t="s" s="11">
        <v>4</v>
      </c>
      <c r="H10" t="s" s="11">
        <f>IF(G10="oz","ozm",IF(G10="tbsp","tbs",IF(G10="fl oz","oz",IF(G10="L","l",IF(G10="mL","ml",IF(G10="lb","lbm",IF(G10="----","F",G10)))))))</f>
        <v>4</v>
      </c>
      <c r="I10" s="12">
        <f>IF(AND(H10="F",K10="F"),F10,CONVERT(F10,H10,K10))*$D$4/$C$4</f>
        <v>132.5</v>
      </c>
      <c r="J10" t="s" s="11">
        <v>4</v>
      </c>
      <c r="K10" t="s" s="11">
        <f>IF(J10="oz","ozm",IF(J10="tbsp","tbs",IF(J10="fl oz","oz",IF(J10="L","l",IF(J10="mL","ml",IF(J10="lb","lbm",IF(J10="----","F",J10)))))))</f>
        <v>4</v>
      </c>
    </row>
    <row r="11" ht="21.25" customHeight="1">
      <c r="E11" t="s" s="9">
        <v>38</v>
      </c>
      <c r="F11" s="10">
        <v>0.75</v>
      </c>
      <c r="G11" t="s" s="11">
        <v>37</v>
      </c>
      <c r="H11" t="s" s="11">
        <f>IF(G11="oz","ozm",IF(G11="tbsp","tbs",IF(G11="fl oz","oz",IF(G11="L","l",IF(G11="mL","ml",IF(G11="lb","lbm",IF(G11="----","F",G11)))))))</f>
        <v>37</v>
      </c>
      <c r="I11" s="12">
        <f>IF(AND(H11="F",K11="F"),F11,CONVERT(F11,H11,K11))*$D$4/$C$4</f>
        <v>0.3975</v>
      </c>
      <c r="J11" t="s" s="11">
        <v>37</v>
      </c>
      <c r="K11" t="s" s="11">
        <f>IF(J11="oz","ozm",IF(J11="tbsp","tbs",IF(J11="fl oz","oz",IF(J11="L","l",IF(J11="mL","ml",IF(J11="lb","lbm",IF(J11="----","F",J11)))))))</f>
        <v>37</v>
      </c>
    </row>
    <row r="12" ht="21.25" customHeight="1">
      <c r="E12" t="s" s="9">
        <v>6</v>
      </c>
      <c r="F12" s="10">
        <v>120</v>
      </c>
      <c r="G12" t="s" s="11">
        <v>7</v>
      </c>
      <c r="H12" t="s" s="11">
        <f>IF(G12="oz","ozm",IF(G12="tbsp","tbs",IF(G12="fl oz","oz",IF(G12="L","l",IF(G12="mL","ml",IF(G12="lb","lbm",IF(G12="----","F",G12)))))))</f>
        <v>8</v>
      </c>
      <c r="I12" s="12">
        <f>IF(AND(H12="F",K12="F"),F12,CONVERT(F12,H12,K12))*$D$4/$C$4</f>
        <v>63.6</v>
      </c>
      <c r="J12" t="s" s="11">
        <v>7</v>
      </c>
      <c r="K12" t="s" s="11">
        <f>IF(J12="oz","ozm",IF(J12="tbsp","tbs",IF(J12="fl oz","oz",IF(J12="L","l",IF(J12="mL","ml",IF(J12="lb","lbm",IF(J12="----","F",J12)))))))</f>
        <v>8</v>
      </c>
    </row>
    <row r="13" ht="34.25" customHeight="1">
      <c r="E13" t="s" s="9">
        <v>20</v>
      </c>
      <c r="F13" s="10">
        <v>2</v>
      </c>
      <c r="G13" t="s" s="11">
        <v>18</v>
      </c>
      <c r="H13" t="s" s="11">
        <f>IF(G13="oz","ozm",IF(G13="tbsp","tbs",IF(G13="fl oz","oz",IF(G13="L","l",IF(G13="mL","ml",IF(G13="lb","lbm",IF(G13="----","F",G13)))))))</f>
        <v>19</v>
      </c>
      <c r="I13" s="12">
        <f>IF(AND(H13="F",K13="F"),F13,CONVERT(F13,H13,K13))*$D$4/$C$4</f>
        <v>1.06</v>
      </c>
      <c r="J13" t="s" s="11">
        <v>18</v>
      </c>
      <c r="K13" t="s" s="11">
        <f>IF(J13="oz","ozm",IF(J13="tbsp","tbs",IF(J13="fl oz","oz",IF(J13="L","l",IF(J13="mL","ml",IF(J13="lb","lbm",IF(J13="----","F",J13)))))))</f>
        <v>19</v>
      </c>
    </row>
    <row r="14" ht="21.6" customHeight="1">
      <c r="E14" t="s" s="13">
        <v>34</v>
      </c>
      <c r="F14" s="14">
        <v>50</v>
      </c>
      <c r="G14" t="s" s="15">
        <v>4</v>
      </c>
      <c r="H14" t="s" s="15">
        <f>IF(G14="oz","ozm",IF(G14="tbsp","tbs",IF(G14="fl oz","oz",IF(G14="L","l",IF(G14="mL","ml",IF(G14="lb","lbm",IF(G14="----","F",G14)))))))</f>
        <v>4</v>
      </c>
      <c r="I14" s="16">
        <v>25</v>
      </c>
      <c r="J14" t="s" s="15">
        <v>4</v>
      </c>
      <c r="K14" t="s" s="15">
        <f>IF(J14="oz","ozm",IF(J14="tbsp","tbs",IF(J14="fl oz","oz",IF(J14="L","l",IF(J14="mL","ml",IF(J14="lb","lbm",IF(J14="----","F",J14)))))))</f>
        <v>4</v>
      </c>
    </row>
    <row r="15" ht="22" customHeight="1">
      <c r="E15" t="s" s="17">
        <v>39</v>
      </c>
      <c r="F15" s="18">
        <v>1.5</v>
      </c>
      <c r="G15" t="s" s="19">
        <v>18</v>
      </c>
      <c r="H15" t="s" s="19">
        <f>IF(G15="oz","ozm",IF(G15="tbsp","tbs",IF(G15="fl oz","oz",IF(G15="L","l",IF(G15="mL","ml",IF(G15="lb","lbm",IF(G15="----","F",G15)))))))</f>
        <v>19</v>
      </c>
      <c r="I15" s="21">
        <f>IF(AND(H15="F",K15="F"),F15,CONVERT(F15,H15,K15))*$D$4/$C$4</f>
        <v>0.7949999999999998</v>
      </c>
      <c r="J15" t="s" s="19">
        <v>18</v>
      </c>
      <c r="K15" t="s" s="19">
        <f>IF(J15="oz","ozm",IF(J15="tbsp","tbs",IF(J15="fl oz","oz",IF(J15="L","l",IF(J15="mL","ml",IF(J15="lb","lbm",IF(J15="----","F",J15)))))))</f>
        <v>19</v>
      </c>
    </row>
    <row r="16" ht="22" customHeight="1">
      <c r="E16" t="s" s="17">
        <v>40</v>
      </c>
      <c r="F16" s="18">
        <v>5</v>
      </c>
      <c r="G16" t="s" s="19">
        <v>4</v>
      </c>
      <c r="H16" t="s" s="19">
        <f>IF(G16="oz","ozm",IF(G16="tbsp","tbs",IF(G16="fl oz","oz",IF(G16="L","l",IF(G16="mL","ml",IF(G16="lb","lbm",IF(G16="----","F",G16)))))))</f>
        <v>4</v>
      </c>
      <c r="I16" s="21">
        <f>IF(AND(H16="F",K16="F"),F16,CONVERT(F16,H16,K16))*$D$4/$C$4</f>
        <v>2.65</v>
      </c>
      <c r="J16" t="s" s="19">
        <v>4</v>
      </c>
      <c r="K16" t="s" s="19">
        <f>IF(J16="oz","ozm",IF(J16="tbsp","tbs",IF(J16="fl oz","oz",IF(J16="L","l",IF(J16="mL","ml",IF(J16="lb","lbm",IF(J16="----","F",J16)))))))</f>
        <v>4</v>
      </c>
    </row>
    <row r="17" ht="22" customHeight="1">
      <c r="E17" t="s" s="17">
        <v>35</v>
      </c>
      <c r="F17" s="18">
        <v>1</v>
      </c>
      <c r="G17" t="s" s="19">
        <v>10</v>
      </c>
      <c r="H17" t="s" s="19">
        <f>IF(G17="oz","ozm",IF(G17="tbsp","tbs",IF(G17="fl oz","oz",IF(G17="L","l",IF(G17="mL","ml",IF(G17="lb","lbm",IF(G17="----","F",G17)))))))</f>
        <v>10</v>
      </c>
      <c r="I17" s="21">
        <f>IF(AND(H17="F",K17="F"),F17,CONVERT(F17,H17,K17))*$D$4/$C$4</f>
        <v>0.53</v>
      </c>
      <c r="J17" t="s" s="19">
        <v>10</v>
      </c>
      <c r="K17" t="s" s="19">
        <f>IF(J17="oz","ozm",IF(J17="tbsp","tbs",IF(J17="fl oz","oz",IF(J17="L","l",IF(J17="mL","ml",IF(J17="lb","lbm",IF(J17="----","F",J17)))))))</f>
        <v>10</v>
      </c>
    </row>
    <row r="18" ht="22" customHeight="1">
      <c r="E18" t="s" s="17">
        <v>24</v>
      </c>
      <c r="F18" s="18">
        <v>1</v>
      </c>
      <c r="G18" t="s" s="19">
        <v>10</v>
      </c>
      <c r="H18" t="s" s="19">
        <f>IF(G18="oz","ozm",IF(G18="tbsp","tbs",IF(G18="fl oz","oz",IF(G18="L","l",IF(G18="mL","ml",IF(G18="lb","lbm",IF(G18="----","F",G18)))))))</f>
        <v>10</v>
      </c>
      <c r="I18" s="21">
        <f>IF(AND(H18="F",K18="F"),F18,CONVERT(F18,H18,K18))*$D$4/$C$4</f>
        <v>0.53</v>
      </c>
      <c r="J18" t="s" s="19">
        <v>10</v>
      </c>
      <c r="K18" t="s" s="19">
        <f>IF(J18="oz","ozm",IF(J18="tbsp","tbs",IF(J18="fl oz","oz",IF(J18="L","l",IF(J18="mL","ml",IF(J18="lb","lbm",IF(J18="----","F",J18)))))))</f>
        <v>10</v>
      </c>
    </row>
    <row r="19" ht="22" customHeight="1">
      <c r="E19" t="s" s="17">
        <v>35</v>
      </c>
      <c r="F19" s="18">
        <v>1</v>
      </c>
      <c r="G19" t="s" s="19">
        <v>10</v>
      </c>
      <c r="H19" t="s" s="19">
        <f>IF(G19="oz","ozm",IF(G19="tbsp","tbs",IF(G19="fl oz","oz",IF(G19="L","l",IF(G19="mL","ml",IF(G19="lb","lbm",IF(G19="----","F",G19)))))))</f>
        <v>10</v>
      </c>
      <c r="I19" s="21">
        <f>IF(AND(H19="F",K19="F"),F19,CONVERT(F19,H19,K19))*$D$4/$C$4</f>
        <v>0.53</v>
      </c>
      <c r="J19" t="s" s="19">
        <v>10</v>
      </c>
      <c r="K19" t="s" s="19">
        <f>IF(J19="oz","ozm",IF(J19="tbsp","tbs",IF(J19="fl oz","oz",IF(J19="L","l",IF(J19="mL","ml",IF(J19="lb","lbm",IF(J19="----","F",J19)))))))</f>
        <v>10</v>
      </c>
    </row>
    <row r="20" ht="22" customHeight="1">
      <c r="E20" t="s" s="17">
        <v>9</v>
      </c>
      <c r="F20" s="18">
        <v>1</v>
      </c>
      <c r="G20" t="s" s="19">
        <v>18</v>
      </c>
      <c r="H20" t="s" s="19">
        <f>IF(G20="oz","ozm",IF(G20="tbsp","tbs",IF(G20="fl oz","oz",IF(G20="L","l",IF(G20="mL","ml",IF(G20="lb","lbm",IF(G20="----","F",G20)))))))</f>
        <v>19</v>
      </c>
      <c r="I20" s="21">
        <f>IF(AND(H20="F",K20="F"),F20,CONVERT(F20,H20,K20))*$D$4/$C$4</f>
        <v>1.59</v>
      </c>
      <c r="J20" t="s" s="19">
        <v>10</v>
      </c>
      <c r="K20" t="s" s="19">
        <f>IF(J20="oz","ozm",IF(J20="tbsp","tbs",IF(J20="fl oz","oz",IF(J20="L","l",IF(J20="mL","ml",IF(J20="lb","lbm",IF(J20="----","F",J20)))))))</f>
        <v>10</v>
      </c>
    </row>
    <row r="21" ht="22" customHeight="1">
      <c r="E21" t="s" s="17">
        <v>11</v>
      </c>
      <c r="F21" s="18">
        <v>0.5</v>
      </c>
      <c r="G21" t="s" s="19">
        <v>18</v>
      </c>
      <c r="H21" t="s" s="19">
        <f>IF(G21="oz","ozm",IF(G21="tbsp","tbs",IF(G21="fl oz","oz",IF(G21="L","l",IF(G21="mL","ml",IF(G21="lb","lbm",IF(G21="----","F",G21)))))))</f>
        <v>19</v>
      </c>
      <c r="I21" s="21">
        <v>0.25</v>
      </c>
      <c r="J21" t="s" s="19">
        <v>18</v>
      </c>
      <c r="K21" t="s" s="19">
        <f>IF(J21="oz","ozm",IF(J21="tbsp","tbs",IF(J21="fl oz","oz",IF(J21="L","l",IF(J21="mL","ml",IF(J21="lb","lbm",IF(J21="----","F",J21)))))))</f>
        <v>19</v>
      </c>
    </row>
    <row r="22" ht="22" customHeight="1">
      <c r="E22" s="17"/>
      <c r="F22" s="18"/>
      <c r="G22" s="19"/>
      <c r="H22" t="s" s="19">
        <f>IF(G22="oz","ozm",IF(G22="tbsp","tbs",IF(G22="fl oz","oz",IF(G22="L","l",IF(G22="mL","ml",IF(G22="lb","lbm",IF(G22="----","F",G22)))))))</f>
      </c>
      <c r="I22" s="21"/>
      <c r="J22" s="19"/>
      <c r="K22" t="s" s="19">
        <f>IF(J22="oz","ozm",IF(J22="tbsp","tbs",IF(J22="fl oz","oz",IF(J22="L","l",IF(J22="mL","ml",IF(J22="lb","lbm",IF(J22="----","F",J22)))))))</f>
      </c>
    </row>
  </sheetData>
  <mergeCells count="3">
    <mergeCell ref="B2:D2"/>
    <mergeCell ref="F6:G6"/>
    <mergeCell ref="I6:J6"/>
  </mergeCells>
  <pageMargins left="0.5" right="0.5" top="0.25" bottom="0.5" header="0.25" footer="0.25"/>
  <pageSetup firstPageNumber="1" fitToHeight="1" fitToWidth="1" scale="100" useFirstPageNumber="0" orientation="portrait" pageOrder="downThenOver"/>
  <headerFooter>
    <oddFooter>&amp;C&amp;"Baskerville,Regular"&amp;10&amp;K000000&amp;P</oddFooter>
  </headerFooter>
  <drawing r:id="rId1"/>
</worksheet>
</file>

<file path=xl/worksheets/sheet9.xml><?xml version="1.0" encoding="utf-8"?>
<worksheet xmlns:r="http://schemas.openxmlformats.org/officeDocument/2006/relationships" xmlns="http://schemas.openxmlformats.org/spreadsheetml/2006/main">
  <sheetPr>
    <pageSetUpPr fitToPage="1"/>
  </sheetPr>
  <dimension ref="B3:K14"/>
  <sheetViews>
    <sheetView workbookViewId="0" showGridLines="0" defaultGridColor="1"/>
  </sheetViews>
  <sheetFormatPr defaultColWidth="21" defaultRowHeight="20.55" customHeight="1" outlineLevelRow="0" outlineLevelCol="0"/>
  <cols>
    <col min="1" max="1" width="67.7031" style="50" customWidth="1"/>
    <col min="2" max="2" width="21" style="50" customWidth="1"/>
    <col min="3" max="4" width="18" style="50" customWidth="1"/>
    <col min="5" max="5" width="21" style="51" customWidth="1"/>
    <col min="6" max="7" width="9" style="51" customWidth="1"/>
    <col min="8" max="8" hidden="1" width="21" style="51" customWidth="1"/>
    <col min="9" max="10" width="9" style="51" customWidth="1"/>
    <col min="11" max="11" hidden="1" width="21" style="51" customWidth="1"/>
    <col min="12" max="256" width="21" style="51" customWidth="1"/>
  </cols>
  <sheetData>
    <row r="1" ht="64.4" customHeight="1"/>
    <row r="2" ht="28" customHeight="1">
      <c r="B2" t="s" s="26">
        <v>13</v>
      </c>
      <c r="C2" s="26"/>
      <c r="D2" s="26"/>
    </row>
    <row r="3" ht="19.5" customHeight="1">
      <c r="B3" s="23"/>
      <c r="C3" t="s" s="23">
        <v>14</v>
      </c>
      <c r="D3" t="s" s="23">
        <v>12</v>
      </c>
    </row>
    <row r="4" ht="22" customHeight="1">
      <c r="B4" s="19"/>
      <c r="C4" s="24">
        <v>10</v>
      </c>
      <c r="D4" s="24">
        <v>5.3</v>
      </c>
    </row>
    <row r="6" ht="23.5" customHeight="1">
      <c r="E6" t="s" s="28">
        <v>0</v>
      </c>
      <c r="F6" t="s" s="28">
        <v>1</v>
      </c>
      <c r="G6" s="3"/>
      <c r="H6" s="4"/>
      <c r="I6" s="28"/>
      <c r="J6" s="3"/>
      <c r="K6" s="4"/>
    </row>
    <row r="7" ht="21.6" customHeight="1">
      <c r="E7" t="s" s="5">
        <v>3</v>
      </c>
      <c r="F7" s="6">
        <v>35</v>
      </c>
      <c r="G7" t="s" s="7">
        <v>4</v>
      </c>
      <c r="H7" t="s" s="7">
        <f>IF(G7="oz","ozm",IF(G7="tbsp","tbs",IF(G7="fl oz","oz",IF(G7="L","l",IF(G7="mL","ml",IF(G7="lb","lbm",IF(G7="----","F",G7)))))))</f>
        <v>4</v>
      </c>
      <c r="I7" s="8"/>
      <c r="J7" s="7"/>
      <c r="K7" t="s" s="7">
        <f>IF(J7="oz","ozm",IF(J7="tbsp","tbs",IF(J7="fl oz","oz",IF(J7="L","l",IF(J7="mL","ml",IF(J7="lb","lbm",IF(J7="----","F",J7)))))))</f>
      </c>
    </row>
    <row r="8" ht="21.25" customHeight="1">
      <c r="E8" t="s" s="9">
        <v>5</v>
      </c>
      <c r="F8" s="10">
        <v>20</v>
      </c>
      <c r="G8" t="s" s="11">
        <v>4</v>
      </c>
      <c r="H8" t="s" s="11">
        <f>IF(G8="oz","ozm",IF(G8="tbsp","tbs",IF(G8="fl oz","oz",IF(G8="L","l",IF(G8="mL","ml",IF(G8="lb","lbm",IF(G8="----","F",G8)))))))</f>
        <v>4</v>
      </c>
      <c r="I8" s="12"/>
      <c r="J8" s="11"/>
      <c r="K8" t="s" s="11">
        <f>IF(J8="oz","ozm",IF(J8="tbsp","tbs",IF(J8="fl oz","oz",IF(J8="L","l",IF(J8="mL","ml",IF(J8="lb","lbm",IF(J8="----","F",J8)))))))</f>
      </c>
    </row>
    <row r="9" ht="21.25" customHeight="1">
      <c r="E9" t="s" s="9">
        <v>17</v>
      </c>
      <c r="F9" s="10">
        <v>15</v>
      </c>
      <c r="G9" t="s" s="11">
        <v>4</v>
      </c>
      <c r="H9" t="s" s="11">
        <f>IF(G9="oz","ozm",IF(G9="tbsp","tbs",IF(G9="fl oz","oz",IF(G9="L","l",IF(G9="mL","ml",IF(G9="lb","lbm",IF(G9="----","F",G9)))))))</f>
        <v>4</v>
      </c>
      <c r="I9" s="12"/>
      <c r="J9" s="11"/>
      <c r="K9" t="s" s="11">
        <f>IF(J9="oz","ozm",IF(J9="tbsp","tbs",IF(J9="fl oz","oz",IF(J9="L","l",IF(J9="mL","ml",IF(J9="lb","lbm",IF(J9="----","F",J9)))))))</f>
      </c>
    </row>
    <row r="10" ht="21.25" customHeight="1">
      <c r="E10" t="s" s="9">
        <v>16</v>
      </c>
      <c r="F10" s="10">
        <v>5</v>
      </c>
      <c r="G10" t="s" s="11">
        <v>4</v>
      </c>
      <c r="H10" t="s" s="11">
        <f>IF(G10="oz","ozm",IF(G10="tbsp","tbs",IF(G10="fl oz","oz",IF(G10="L","l",IF(G10="mL","ml",IF(G10="lb","lbm",IF(G10="----","F",G10)))))))</f>
        <v>4</v>
      </c>
      <c r="I10" s="12"/>
      <c r="J10" s="11"/>
      <c r="K10" t="s" s="11">
        <f>IF(J10="oz","ozm",IF(J10="tbsp","tbs",IF(J10="fl oz","oz",IF(J10="L","l",IF(J10="mL","ml",IF(J10="lb","lbm",IF(J10="----","F",J10)))))))</f>
      </c>
    </row>
    <row r="11" ht="21.25" customHeight="1">
      <c r="E11" t="s" s="9">
        <v>41</v>
      </c>
      <c r="F11" t="s" s="52">
        <v>42</v>
      </c>
      <c r="G11" s="11"/>
      <c r="H11" t="s" s="11">
        <f>IF(G11="oz","ozm",IF(G11="tbsp","tbs",IF(G11="fl oz","oz",IF(G11="L","l",IF(G11="mL","ml",IF(G11="lb","lbm",IF(G11="----","F",G11)))))))</f>
      </c>
      <c r="I11" s="12"/>
      <c r="J11" s="11"/>
      <c r="K11" t="s" s="11">
        <f>IF(J11="oz","ozm",IF(J11="tbsp","tbs",IF(J11="fl oz","oz",IF(J11="L","l",IF(J11="mL","ml",IF(J11="lb","lbm",IF(J11="----","F",J11)))))))</f>
      </c>
    </row>
    <row r="12" ht="21.6" customHeight="1">
      <c r="E12" t="s" s="13">
        <v>9</v>
      </c>
      <c r="F12" t="s" s="53">
        <v>42</v>
      </c>
      <c r="G12" s="15"/>
      <c r="H12" t="s" s="11">
        <f>IF(G12="oz","ozm",IF(G12="tbsp","tbs",IF(G12="fl oz","oz",IF(G12="L","l",IF(G12="mL","ml",IF(G12="lb","lbm",IF(G12="----","F",G12)))))))</f>
      </c>
      <c r="I12" s="16"/>
      <c r="J12" s="40"/>
      <c r="K12" s="39">
        <f>IF(J12="oz","ozm",IF(J12="tbsp","tbs",IF(J12="fl oz","oz",IF(J12="L","l",IF(J12="mL","ml",IF(J12="lb","lbm",IF(J12="----","F",J12)))))))</f>
        <v>0</v>
      </c>
    </row>
    <row r="13" ht="22" customHeight="1">
      <c r="E13" t="s" s="17">
        <v>11</v>
      </c>
      <c r="F13" t="s" s="54">
        <v>42</v>
      </c>
      <c r="G13" s="19"/>
      <c r="H13" t="s" s="15">
        <f>IF(G13="oz","ozm",IF(G13="tbsp","tbs",IF(G13="fl oz","oz",IF(G13="L","l",IF(G13="mL","ml",IF(G13="lb","lbm",IF(G13="----","F",G13)))))))</f>
      </c>
      <c r="I13" s="21"/>
      <c r="J13" s="19"/>
      <c r="K13" t="s" s="15">
        <f>IF(J13="oz","ozm",IF(J13="tbsp","tbs",IF(J13="fl oz","oz",IF(J13="L","l",IF(J13="mL","ml",IF(J13="lb","lbm",IF(J13="----","F",J13)))))))</f>
      </c>
    </row>
    <row r="14" ht="22" customHeight="1">
      <c r="E14" t="s" s="17">
        <v>43</v>
      </c>
      <c r="F14" t="s" s="54">
        <v>42</v>
      </c>
      <c r="G14" s="19"/>
      <c r="H14" t="s" s="19">
        <f>IF(G14="oz","ozm",IF(G14="tbsp","tbs",IF(G14="fl oz","oz",IF(G14="L","l",IF(G14="mL","ml",IF(G14="lb","lbm",IF(G14="----","F",G14)))))))</f>
      </c>
      <c r="I14" s="21"/>
      <c r="J14" s="19"/>
      <c r="K14" t="s" s="19">
        <f>IF(J14="oz","ozm",IF(J14="tbsp","tbs",IF(J14="fl oz","oz",IF(J14="L","l",IF(J14="mL","ml",IF(J14="lb","lbm",IF(J14="----","F",J14)))))))</f>
      </c>
    </row>
  </sheetData>
  <mergeCells count="3">
    <mergeCell ref="B2:D2"/>
    <mergeCell ref="F6:G6"/>
    <mergeCell ref="I6:J6"/>
  </mergeCells>
  <pageMargins left="0.5" right="0.5" top="0.25" bottom="0.5" header="0.25" footer="0.25"/>
  <pageSetup firstPageNumber="1" fitToHeight="1" fitToWidth="1" scale="100" useFirstPageNumber="0" orientation="portrait" pageOrder="downThenOver"/>
  <headerFooter>
    <oddFooter>&amp;C&amp;"Baskerville,Regular"&amp;10&amp;K000000&amp;P</oddFooter>
  </headerFooter>
  <drawing r:id="rId1"/>
</worksheet>
</file>

<file path=xl/worksheets/sheet10.xml><?xml version="1.0" encoding="utf-8"?>
<worksheet xmlns:r="http://schemas.openxmlformats.org/officeDocument/2006/relationships" xmlns="http://schemas.openxmlformats.org/spreadsheetml/2006/main">
  <sheetPr>
    <pageSetUpPr fitToPage="1"/>
  </sheetPr>
  <dimension ref="B3:K10"/>
  <sheetViews>
    <sheetView workbookViewId="0" showGridLines="0" defaultGridColor="1"/>
  </sheetViews>
  <sheetFormatPr defaultColWidth="21" defaultRowHeight="20.55" customHeight="1" outlineLevelRow="0" outlineLevelCol="0"/>
  <cols>
    <col min="1" max="1" width="75.5391" style="55" customWidth="1"/>
    <col min="2" max="2" width="21" style="55" customWidth="1"/>
    <col min="3" max="4" width="18" style="55" customWidth="1"/>
    <col min="5" max="5" width="21" style="56" customWidth="1"/>
    <col min="6" max="7" width="9" style="56" customWidth="1"/>
    <col min="8" max="8" hidden="1" width="21" style="56" customWidth="1"/>
    <col min="9" max="10" width="9" style="56" customWidth="1"/>
    <col min="11" max="11" hidden="1" width="21" style="56" customWidth="1"/>
    <col min="12" max="256" width="21" style="56" customWidth="1"/>
  </cols>
  <sheetData>
    <row r="1" ht="46.5" customHeight="1"/>
    <row r="2" ht="28" customHeight="1">
      <c r="B2" t="s" s="26">
        <v>13</v>
      </c>
      <c r="C2" s="26"/>
      <c r="D2" s="26"/>
    </row>
    <row r="3" ht="19.5" customHeight="1">
      <c r="B3" s="23"/>
      <c r="C3" t="s" s="23">
        <v>14</v>
      </c>
      <c r="D3" t="s" s="23">
        <v>12</v>
      </c>
    </row>
    <row r="4" ht="22" customHeight="1">
      <c r="B4" s="19"/>
      <c r="C4" s="24">
        <v>10</v>
      </c>
      <c r="D4" s="24">
        <v>0</v>
      </c>
    </row>
    <row r="6" ht="22.5" customHeight="1">
      <c r="E6" t="s" s="37">
        <v>0</v>
      </c>
      <c r="F6" t="s" s="37">
        <v>1</v>
      </c>
      <c r="G6" s="3"/>
      <c r="H6" s="4"/>
      <c r="I6" t="s" s="37">
        <v>2</v>
      </c>
      <c r="J6" s="3"/>
      <c r="K6" s="4"/>
    </row>
    <row r="7" ht="21.6" customHeight="1">
      <c r="E7" t="s" s="5">
        <v>44</v>
      </c>
      <c r="F7" s="6">
        <v>30</v>
      </c>
      <c r="G7" t="s" s="7">
        <v>4</v>
      </c>
      <c r="H7" t="s" s="7">
        <f>IF(G7="oz","ozm",IF(G7="tbsp","tbs",IF(G7="fl oz","oz",IF(G7="L","l",IF(G7="mL","ml",IF(G7="lb","lbm",IF(G7="----","F",G7)))))))</f>
        <v>4</v>
      </c>
      <c r="I7" s="8">
        <f>IF(AND(H7="F",K7="F"),F7,CONVERT(F7,H7,K7))*$D$4/$C$4</f>
        <v>0</v>
      </c>
      <c r="J7" t="s" s="7">
        <v>4</v>
      </c>
      <c r="K7" t="s" s="7">
        <f>IF(J7="oz","ozm",IF(J7="tbsp","tbs",IF(J7="fl oz","oz",IF(J7="L","l",IF(J7="mL","ml",IF(J7="lb","lbm",IF(J7="----","F",J7)))))))</f>
        <v>4</v>
      </c>
    </row>
    <row r="8" ht="21.25" customHeight="1">
      <c r="E8" t="s" s="9">
        <v>45</v>
      </c>
      <c r="F8" s="10">
        <v>30</v>
      </c>
      <c r="G8" t="s" s="11">
        <v>4</v>
      </c>
      <c r="H8" t="s" s="11">
        <f>IF(G8="oz","ozm",IF(G8="tbsp","tbs",IF(G8="fl oz","oz",IF(G8="L","l",IF(G8="mL","ml",IF(G8="lb","lbm",IF(G8="----","F",G8)))))))</f>
        <v>4</v>
      </c>
      <c r="I8" s="12">
        <f>IF(AND(H8="F",K8="F"),F8,CONVERT(F8,H8,K8))*$D$4/$C$4</f>
        <v>0</v>
      </c>
      <c r="J8" t="s" s="11">
        <v>4</v>
      </c>
      <c r="K8" t="s" s="11">
        <f>IF(J8="oz","ozm",IF(J8="tbsp","tbs",IF(J8="fl oz","oz",IF(J8="L","l",IF(J8="mL","ml",IF(J8="lb","lbm",IF(J8="----","F",J8)))))))</f>
        <v>4</v>
      </c>
    </row>
    <row r="9" ht="21.6" customHeight="1">
      <c r="E9" t="s" s="13">
        <v>46</v>
      </c>
      <c r="F9" s="14">
        <v>1</v>
      </c>
      <c r="G9" t="s" s="15">
        <v>10</v>
      </c>
      <c r="H9" t="s" s="11">
        <f>IF(G9="oz","ozm",IF(G9="tbsp","tbs",IF(G9="fl oz","oz",IF(G9="L","l",IF(G9="mL","ml",IF(G9="lb","lbm",IF(G9="----","F",G9)))))))</f>
        <v>10</v>
      </c>
      <c r="I9" s="16">
        <f>IF(AND(H9="F",K9="F"),F9,CONVERT(F9,H9,K9))*$D$4/$C$4</f>
        <v>0</v>
      </c>
      <c r="J9" t="s" s="15">
        <v>18</v>
      </c>
      <c r="K9" t="s" s="11">
        <f>IF(J9="oz","ozm",IF(J9="tbsp","tbs",IF(J9="fl oz","oz",IF(J9="L","l",IF(J9="mL","ml",IF(J9="lb","lbm",IF(J9="----","F",J9)))))))</f>
        <v>19</v>
      </c>
    </row>
    <row r="10" ht="22" customHeight="1">
      <c r="E10" t="s" s="17">
        <v>24</v>
      </c>
      <c r="F10" t="s" s="57">
        <v>42</v>
      </c>
      <c r="G10" s="19"/>
      <c r="H10" t="s" s="20">
        <f>IF(G10="oz","ozm",IF(G10="tbsp","tbs",IF(G10="fl oz","oz",IF(G10="L","l",IF(G10="mL","ml",IF(G10="lb","lbm",IF(G10="----","F",G10)))))))</f>
      </c>
      <c r="I10" s="21"/>
      <c r="J10" s="46"/>
      <c r="K10" s="58">
        <f>IF(J10="oz","ozm",IF(J10="tbsp","tbs",IF(J10="fl oz","oz",IF(J10="L","l",IF(J10="mL","ml",IF(J10="lb","lbm",IF(J10="----","F",J10)))))))</f>
        <v>0</v>
      </c>
    </row>
  </sheetData>
  <mergeCells count="3">
    <mergeCell ref="B2:D2"/>
    <mergeCell ref="F6:G6"/>
    <mergeCell ref="I6:J6"/>
  </mergeCells>
  <pageMargins left="0.5" right="0.5" top="0.25" bottom="0.5" header="0.25" footer="0.25"/>
  <pageSetup firstPageNumber="1" fitToHeight="1" fitToWidth="1" scale="100" useFirstPageNumber="0" orientation="portrait" pageOrder="downThenOver"/>
  <headerFooter>
    <oddFooter>&amp;C&amp;"Baskerville,Regular"&amp;10&amp;K000000&amp;P</oddFooter>
  </headerFooter>
  <drawing r:id="rId1"/>
</worksheet>
</file>

<file path=xl/worksheets/sheet11.xml><?xml version="1.0" encoding="utf-8"?>
<worksheet xmlns:r="http://schemas.openxmlformats.org/officeDocument/2006/relationships" xmlns="http://schemas.openxmlformats.org/spreadsheetml/2006/main">
  <sheetPr>
    <pageSetUpPr fitToPage="1"/>
  </sheetPr>
  <dimension ref="B3:K11"/>
  <sheetViews>
    <sheetView workbookViewId="0" showGridLines="0" defaultGridColor="1"/>
  </sheetViews>
  <sheetFormatPr defaultColWidth="21" defaultRowHeight="20.55" customHeight="1" outlineLevelRow="0" outlineLevelCol="0"/>
  <cols>
    <col min="1" max="1" width="71.375" style="59" customWidth="1"/>
    <col min="2" max="2" width="21" style="59" customWidth="1"/>
    <col min="3" max="4" width="18" style="59" customWidth="1"/>
    <col min="5" max="5" width="21" style="60" customWidth="1"/>
    <col min="6" max="7" width="9" style="60" customWidth="1"/>
    <col min="8" max="8" hidden="1" width="21" style="60" customWidth="1"/>
    <col min="9" max="10" width="9" style="60" customWidth="1"/>
    <col min="11" max="11" hidden="1" width="21" style="60" customWidth="1"/>
    <col min="12" max="256" width="21" style="60" customWidth="1"/>
  </cols>
  <sheetData>
    <row r="1" ht="59.25" customHeight="1"/>
    <row r="2" ht="28" customHeight="1">
      <c r="B2" t="s" s="26">
        <v>13</v>
      </c>
      <c r="C2" s="26"/>
      <c r="D2" s="26"/>
    </row>
    <row r="3" ht="19.5" customHeight="1">
      <c r="B3" s="23"/>
      <c r="C3" t="s" s="23">
        <v>14</v>
      </c>
      <c r="D3" t="s" s="23">
        <v>12</v>
      </c>
    </row>
    <row r="4" ht="22" customHeight="1">
      <c r="B4" s="19"/>
      <c r="C4" s="24">
        <v>10</v>
      </c>
      <c r="D4" s="24">
        <v>0</v>
      </c>
    </row>
    <row r="6" ht="22.5" customHeight="1">
      <c r="E6" t="s" s="37">
        <v>0</v>
      </c>
      <c r="F6" t="s" s="37">
        <v>1</v>
      </c>
      <c r="G6" s="3"/>
      <c r="H6" s="4"/>
      <c r="I6" t="s" s="37">
        <v>2</v>
      </c>
      <c r="J6" s="3"/>
      <c r="K6" s="4"/>
    </row>
    <row r="7" ht="21.6" customHeight="1">
      <c r="E7" t="s" s="5">
        <v>21</v>
      </c>
      <c r="F7" s="6">
        <v>60</v>
      </c>
      <c r="G7" t="s" s="7">
        <v>4</v>
      </c>
      <c r="H7" t="s" s="7">
        <f>IF(G7="oz","ozm",IF(G7="tbsp","tbs",IF(G7="fl oz","oz",IF(G7="L","l",IF(G7="mL","ml",IF(G7="lb","lbm",IF(G7="----","F",G7)))))))</f>
        <v>4</v>
      </c>
      <c r="I7" s="8">
        <f>IF(AND(H7="F",K7="F"),F7,CONVERT(F7,H7,K7))*$D$4/$C$4</f>
        <v>0</v>
      </c>
      <c r="J7" t="s" s="7">
        <v>4</v>
      </c>
      <c r="K7" t="s" s="7">
        <f>IF(J7="oz","ozm",IF(J7="tbsp","tbs",IF(J7="fl oz","oz",IF(J7="L","l",IF(J7="mL","ml",IF(J7="lb","lbm",IF(J7="----","F",J7)))))))</f>
        <v>4</v>
      </c>
    </row>
    <row r="8" ht="21.25" customHeight="1">
      <c r="E8" t="s" s="9">
        <v>16</v>
      </c>
      <c r="F8" s="10">
        <v>8</v>
      </c>
      <c r="G8" t="s" s="11">
        <v>4</v>
      </c>
      <c r="H8" t="s" s="11">
        <f>IF(G8="oz","ozm",IF(G8="tbsp","tbs",IF(G8="fl oz","oz",IF(G8="L","l",IF(G8="mL","ml",IF(G8="lb","lbm",IF(G8="----","F",G8)))))))</f>
        <v>4</v>
      </c>
      <c r="I8" s="12">
        <f>IF(AND(H8="F",K8="F"),F8,CONVERT(F8,H8,K8))*$D$4/$C$4</f>
        <v>0</v>
      </c>
      <c r="J8" t="s" s="11">
        <v>4</v>
      </c>
      <c r="K8" t="s" s="11">
        <f>IF(J8="oz","ozm",IF(J8="tbsp","tbs",IF(J8="fl oz","oz",IF(J8="L","l",IF(J8="mL","ml",IF(J8="lb","lbm",IF(J8="----","F",J8)))))))</f>
        <v>4</v>
      </c>
    </row>
    <row r="9" ht="21.6" customHeight="1">
      <c r="E9" t="s" s="13">
        <v>23</v>
      </c>
      <c r="F9" t="s" s="61">
        <v>42</v>
      </c>
      <c r="G9" s="15"/>
      <c r="H9" t="s" s="11">
        <f>IF(G9="oz","ozm",IF(G9="tbsp","tbs",IF(G9="fl oz","oz",IF(G9="L","l",IF(G9="mL","ml",IF(G9="lb","lbm",IF(G9="----","F",G9)))))))</f>
      </c>
      <c r="I9" s="16"/>
      <c r="J9" s="40"/>
      <c r="K9" s="39">
        <f>IF(J9="oz","ozm",IF(J9="tbsp","tbs",IF(J9="fl oz","oz",IF(J9="L","l",IF(J9="mL","ml",IF(J9="lb","lbm",IF(J9="----","F",J9)))))))</f>
        <v>0</v>
      </c>
    </row>
    <row r="10" ht="22" customHeight="1">
      <c r="E10" t="s" s="17">
        <v>24</v>
      </c>
      <c r="F10" t="s" s="57">
        <v>42</v>
      </c>
      <c r="G10" s="19"/>
      <c r="H10" t="s" s="11">
        <f>IF(G10="oz","ozm",IF(G10="tbsp","tbs",IF(G10="fl oz","oz",IF(G10="L","l",IF(G10="mL","ml",IF(G10="lb","lbm",IF(G10="----","F",G10)))))))</f>
      </c>
      <c r="I10" s="21"/>
      <c r="J10" s="46"/>
      <c r="K10" s="39">
        <f>IF(J10="oz","ozm",IF(J10="tbsp","tbs",IF(J10="fl oz","oz",IF(J10="L","l",IF(J10="mL","ml",IF(J10="lb","lbm",IF(J10="----","F",J10)))))))</f>
        <v>0</v>
      </c>
    </row>
    <row r="11" ht="22" customHeight="1">
      <c r="E11" t="s" s="17">
        <v>47</v>
      </c>
      <c r="F11" t="s" s="62">
        <v>48</v>
      </c>
      <c r="G11" s="19"/>
      <c r="H11" t="s" s="20">
        <f>IF(G11="oz","ozm",IF(G11="tbsp","tbs",IF(G11="fl oz","oz",IF(G11="L","l",IF(G11="mL","ml",IF(G11="lb","lbm",IF(G11="----","F",G11)))))))</f>
      </c>
      <c r="I11" s="21"/>
      <c r="J11" s="19"/>
      <c r="K11" t="s" s="20">
        <f>IF(J11="oz","ozm",IF(J11="tbsp","tbs",IF(J11="fl oz","oz",IF(J11="L","l",IF(J11="mL","ml",IF(J11="lb","lbm",IF(J11="----","F",J11)))))))</f>
      </c>
    </row>
  </sheetData>
  <mergeCells count="3">
    <mergeCell ref="B2:D2"/>
    <mergeCell ref="F6:G6"/>
    <mergeCell ref="I6:J6"/>
  </mergeCells>
  <pageMargins left="0.5" right="0.5" top="0.25" bottom="0.5" header="0.25" footer="0.25"/>
  <pageSetup firstPageNumber="1" fitToHeight="1" fitToWidth="1" scale="100" useFirstPageNumber="0" orientation="portrait" pageOrder="downThenOver"/>
  <headerFooter>
    <oddFooter>&amp;C&amp;"Baskerville,Regular"&amp;10&amp;K000000&amp;P</oddFooter>
  </headerFooter>
  <drawing r:id="rId1"/>
</worksheet>
</file>

<file path=xl/worksheets/sheet12.xml><?xml version="1.0" encoding="utf-8"?>
<worksheet xmlns:r="http://schemas.openxmlformats.org/officeDocument/2006/relationships" xmlns="http://schemas.openxmlformats.org/spreadsheetml/2006/main">
  <sheetPr>
    <pageSetUpPr fitToPage="1"/>
  </sheetPr>
  <dimension ref="B3:K10"/>
  <sheetViews>
    <sheetView workbookViewId="0" showGridLines="0" defaultGridColor="1"/>
  </sheetViews>
  <sheetFormatPr defaultColWidth="21" defaultRowHeight="20.55" customHeight="1" outlineLevelRow="0" outlineLevelCol="0"/>
  <cols>
    <col min="1" max="1" width="79.6094" style="63" customWidth="1"/>
    <col min="2" max="2" width="21" style="63" customWidth="1"/>
    <col min="3" max="4" width="18" style="63" customWidth="1"/>
    <col min="5" max="5" width="21" style="64" customWidth="1"/>
    <col min="6" max="7" width="9" style="64" customWidth="1"/>
    <col min="8" max="8" hidden="1" width="21" style="64" customWidth="1"/>
    <col min="9" max="10" width="9" style="64" customWidth="1"/>
    <col min="11" max="11" hidden="1" width="21" style="64" customWidth="1"/>
    <col min="12" max="256" width="21" style="64" customWidth="1"/>
  </cols>
  <sheetData>
    <row r="1" ht="68.05" customHeight="1"/>
    <row r="2" ht="28" customHeight="1">
      <c r="B2" t="s" s="26">
        <v>13</v>
      </c>
      <c r="C2" s="26"/>
      <c r="D2" s="26"/>
    </row>
    <row r="3" ht="19.5" customHeight="1">
      <c r="B3" s="23"/>
      <c r="C3" t="s" s="23">
        <v>14</v>
      </c>
      <c r="D3" t="s" s="23">
        <v>12</v>
      </c>
    </row>
    <row r="4" ht="22" customHeight="1">
      <c r="B4" s="19"/>
      <c r="C4" s="24">
        <v>10</v>
      </c>
      <c r="D4" s="24">
        <v>0</v>
      </c>
    </row>
    <row r="6" ht="22.5" customHeight="1">
      <c r="E6" t="s" s="37">
        <v>0</v>
      </c>
      <c r="F6" t="s" s="37">
        <v>1</v>
      </c>
      <c r="G6" s="3"/>
      <c r="H6" s="4"/>
      <c r="I6" t="s" s="37">
        <v>2</v>
      </c>
      <c r="J6" s="3"/>
      <c r="K6" s="4"/>
    </row>
    <row r="7" ht="21.6" customHeight="1">
      <c r="E7" t="s" s="5">
        <v>49</v>
      </c>
      <c r="F7" s="6">
        <v>5</v>
      </c>
      <c r="G7" t="s" s="7">
        <v>4</v>
      </c>
      <c r="H7" t="s" s="7">
        <f>IF(G7="oz","ozm",IF(G7="tbsp","tbs",IF(G7="fl oz","oz",IF(G7="L","l",IF(G7="mL","ml",IF(G7="lb","lbm",IF(G7="----","F",G7)))))))</f>
        <v>4</v>
      </c>
      <c r="I7" s="8">
        <f>IF(AND(H7="F",K7="F"),F7,CONVERT(F7,H7,K7))*$D$4/$C$4</f>
        <v>0</v>
      </c>
      <c r="J7" t="s" s="7">
        <v>4</v>
      </c>
      <c r="K7" t="s" s="7">
        <f>IF(J7="oz","ozm",IF(J7="tbsp","tbs",IF(J7="fl oz","oz",IF(J7="L","l",IF(J7="mL","ml",IF(J7="lb","lbm",IF(J7="----","F",J7)))))))</f>
        <v>4</v>
      </c>
    </row>
    <row r="8" ht="21.25" customHeight="1">
      <c r="E8" t="s" s="9">
        <v>16</v>
      </c>
      <c r="F8" s="10">
        <v>60</v>
      </c>
      <c r="G8" t="s" s="11">
        <v>4</v>
      </c>
      <c r="H8" t="s" s="11">
        <f>IF(G8="oz","ozm",IF(G8="tbsp","tbs",IF(G8="fl oz","oz",IF(G8="L","l",IF(G8="mL","ml",IF(G8="lb","lbm",IF(G8="----","F",G8)))))))</f>
        <v>4</v>
      </c>
      <c r="I8" s="12">
        <f>IF(AND(H8="F",K8="F"),F8,CONVERT(F8,H8,K8))*$D$4/$C$4</f>
        <v>0</v>
      </c>
      <c r="J8" t="s" s="11">
        <v>4</v>
      </c>
      <c r="K8" t="s" s="11">
        <f>IF(J8="oz","ozm",IF(J8="tbsp","tbs",IF(J8="fl oz","oz",IF(J8="L","l",IF(J8="mL","ml",IF(J8="lb","lbm",IF(J8="----","F",J8)))))))</f>
        <v>4</v>
      </c>
    </row>
    <row r="9" ht="21.6" customHeight="1">
      <c r="E9" t="s" s="13">
        <v>26</v>
      </c>
      <c r="F9" t="s" s="61">
        <v>42</v>
      </c>
      <c r="G9" s="15"/>
      <c r="H9" t="s" s="11">
        <f>IF(G9="oz","ozm",IF(G9="tbsp","tbs",IF(G9="fl oz","oz",IF(G9="L","l",IF(G9="mL","ml",IF(G9="lb","lbm",IF(G9="----","F",G9)))))))</f>
      </c>
      <c r="I9" s="16"/>
      <c r="J9" s="40"/>
      <c r="K9" s="39">
        <f>IF(J9="oz","ozm",IF(J9="tbsp","tbs",IF(J9="fl oz","oz",IF(J9="L","l",IF(J9="mL","ml",IF(J9="lb","lbm",IF(J9="----","F",J9)))))))</f>
        <v>0</v>
      </c>
    </row>
    <row r="10" ht="22" customHeight="1">
      <c r="E10" t="s" s="17">
        <v>50</v>
      </c>
      <c r="F10" s="65">
        <v>1</v>
      </c>
      <c r="G10" t="s" s="19">
        <v>10</v>
      </c>
      <c r="H10" t="s" s="20">
        <f>IF(G10="oz","ozm",IF(G10="tbsp","tbs",IF(G10="fl oz","oz",IF(G10="L","l",IF(G10="mL","ml",IF(G10="lb","lbm",IF(G10="----","F",G10)))))))</f>
        <v>10</v>
      </c>
      <c r="I10" s="21"/>
      <c r="J10" s="46"/>
      <c r="K10" s="58">
        <f>IF(J10="oz","ozm",IF(J10="tbsp","tbs",IF(J10="fl oz","oz",IF(J10="L","l",IF(J10="mL","ml",IF(J10="lb","lbm",IF(J10="----","F",J10)))))))</f>
        <v>0</v>
      </c>
    </row>
  </sheetData>
  <mergeCells count="3">
    <mergeCell ref="B2:D2"/>
    <mergeCell ref="F6:G6"/>
    <mergeCell ref="I6:J6"/>
  </mergeCells>
  <pageMargins left="0.5" right="0.5" top="0.25" bottom="0.5" header="0.25" footer="0.25"/>
  <pageSetup firstPageNumber="1" fitToHeight="1" fitToWidth="1" scale="100" useFirstPageNumber="0" orientation="portrait" pageOrder="downThenOver"/>
  <headerFooter>
    <oddFooter>&amp;C&amp;"Baskerville,Regular"&amp;10&amp;K000000&amp;P</oddFooter>
  </headerFooter>
  <drawing r:id="rId1"/>
</worksheet>
</file>

<file path=xl/worksheets/sheet13.xml><?xml version="1.0" encoding="utf-8"?>
<worksheet xmlns:r="http://schemas.openxmlformats.org/officeDocument/2006/relationships" xmlns="http://schemas.openxmlformats.org/spreadsheetml/2006/main">
  <sheetPr>
    <pageSetUpPr fitToPage="1"/>
  </sheetPr>
  <dimension ref="B3:K10"/>
  <sheetViews>
    <sheetView workbookViewId="0" showGridLines="0" defaultGridColor="1"/>
  </sheetViews>
  <sheetFormatPr defaultColWidth="21" defaultRowHeight="20.55" customHeight="1" outlineLevelRow="0" outlineLevelCol="0"/>
  <cols>
    <col min="1" max="1" width="73.1328" style="66" customWidth="1"/>
    <col min="2" max="2" width="21" style="66" customWidth="1"/>
    <col min="3" max="4" width="18" style="66" customWidth="1"/>
    <col min="5" max="5" width="21" style="67" customWidth="1"/>
    <col min="6" max="7" width="9" style="67" customWidth="1"/>
    <col min="8" max="8" hidden="1" width="21" style="67" customWidth="1"/>
    <col min="9" max="10" width="9" style="67" customWidth="1"/>
    <col min="11" max="11" hidden="1" width="21" style="67" customWidth="1"/>
    <col min="12" max="256" width="21" style="67" customWidth="1"/>
  </cols>
  <sheetData>
    <row r="1" ht="72.05" customHeight="1"/>
    <row r="2" ht="28" customHeight="1">
      <c r="B2" t="s" s="26">
        <v>13</v>
      </c>
      <c r="C2" s="26"/>
      <c r="D2" s="26"/>
    </row>
    <row r="3" ht="19.5" customHeight="1">
      <c r="B3" s="23"/>
      <c r="C3" t="s" s="23">
        <v>14</v>
      </c>
      <c r="D3" t="s" s="23">
        <v>12</v>
      </c>
    </row>
    <row r="4" ht="22" customHeight="1">
      <c r="B4" s="19"/>
      <c r="C4" s="24">
        <v>10</v>
      </c>
      <c r="D4" s="24">
        <v>0</v>
      </c>
    </row>
    <row r="6" ht="22.5" customHeight="1">
      <c r="E6" t="s" s="37">
        <v>0</v>
      </c>
      <c r="F6" t="s" s="37">
        <v>1</v>
      </c>
      <c r="G6" s="3"/>
      <c r="H6" s="4"/>
      <c r="I6" t="s" s="37">
        <v>2</v>
      </c>
      <c r="J6" s="3"/>
      <c r="K6" s="4"/>
    </row>
    <row r="7" ht="21.6" customHeight="1">
      <c r="E7" t="s" s="5">
        <v>51</v>
      </c>
      <c r="F7" s="6">
        <v>60</v>
      </c>
      <c r="G7" t="s" s="7">
        <v>4</v>
      </c>
      <c r="H7" t="s" s="7">
        <f>IF(G7="oz","ozm",IF(G7="tbsp","tbs",IF(G7="fl oz","oz",IF(G7="L","l",IF(G7="mL","ml",IF(G7="lb","lbm",IF(G7="----","F",G7)))))))</f>
        <v>4</v>
      </c>
      <c r="I7" s="8">
        <f>IF(AND(H7="F",K7="F"),F7,CONVERT(F7,H7,K7))*$D$4/$C$4</f>
        <v>0</v>
      </c>
      <c r="J7" t="s" s="7">
        <v>4</v>
      </c>
      <c r="K7" t="s" s="7">
        <f>IF(J7="oz","ozm",IF(J7="tbsp","tbs",IF(J7="fl oz","oz",IF(J7="L","l",IF(J7="mL","ml",IF(J7="lb","lbm",IF(J7="----","F",J7)))))))</f>
        <v>4</v>
      </c>
    </row>
    <row r="8" ht="21.25" customHeight="1">
      <c r="E8" t="s" s="9">
        <v>52</v>
      </c>
      <c r="F8" s="10">
        <v>5</v>
      </c>
      <c r="G8" t="s" s="11">
        <v>4</v>
      </c>
      <c r="H8" t="s" s="11">
        <f>IF(G8="oz","ozm",IF(G8="tbsp","tbs",IF(G8="fl oz","oz",IF(G8="L","l",IF(G8="mL","ml",IF(G8="lb","lbm",IF(G8="----","F",G8)))))))</f>
        <v>4</v>
      </c>
      <c r="I8" s="12">
        <f>IF(AND(H8="F",K8="F"),F8,CONVERT(F8,H8,K8))*$D$4/$C$4</f>
        <v>0</v>
      </c>
      <c r="J8" t="s" s="11">
        <v>4</v>
      </c>
      <c r="K8" t="s" s="11">
        <f>IF(J8="oz","ozm",IF(J8="tbsp","tbs",IF(J8="fl oz","oz",IF(J8="L","l",IF(J8="mL","ml",IF(J8="lb","lbm",IF(J8="----","F",J8)))))))</f>
        <v>4</v>
      </c>
    </row>
    <row r="9" ht="21.6" customHeight="1">
      <c r="E9" t="s" s="13">
        <v>32</v>
      </c>
      <c r="F9" t="s" s="61">
        <v>42</v>
      </c>
      <c r="G9" s="15"/>
      <c r="H9" t="s" s="11">
        <f>IF(G9="oz","ozm",IF(G9="tbsp","tbs",IF(G9="fl oz","oz",IF(G9="L","l",IF(G9="mL","ml",IF(G9="lb","lbm",IF(G9="----","F",G9)))))))</f>
      </c>
      <c r="I9" s="16"/>
      <c r="J9" s="40"/>
      <c r="K9" s="39">
        <f>IF(J9="oz","ozm",IF(J9="tbsp","tbs",IF(J9="fl oz","oz",IF(J9="L","l",IF(J9="mL","ml",IF(J9="lb","lbm",IF(J9="----","F",J9)))))))</f>
        <v>0</v>
      </c>
    </row>
    <row r="10" ht="22" customHeight="1">
      <c r="E10" t="s" s="17">
        <v>50</v>
      </c>
      <c r="F10" s="65">
        <v>1</v>
      </c>
      <c r="G10" t="s" s="19">
        <v>10</v>
      </c>
      <c r="H10" t="s" s="20">
        <f>IF(G10="oz","ozm",IF(G10="tbsp","tbs",IF(G10="fl oz","oz",IF(G10="L","l",IF(G10="mL","ml",IF(G10="lb","lbm",IF(G10="----","F",G10)))))))</f>
        <v>10</v>
      </c>
      <c r="I10" s="21"/>
      <c r="J10" s="46"/>
      <c r="K10" s="58">
        <f>IF(J10="oz","ozm",IF(J10="tbsp","tbs",IF(J10="fl oz","oz",IF(J10="L","l",IF(J10="mL","ml",IF(J10="lb","lbm",IF(J10="----","F",J10)))))))</f>
        <v>0</v>
      </c>
    </row>
  </sheetData>
  <mergeCells count="3">
    <mergeCell ref="B2:D2"/>
    <mergeCell ref="F6:G6"/>
    <mergeCell ref="I6:J6"/>
  </mergeCells>
  <pageMargins left="0.5" right="0.5" top="0.25" bottom="0.5" header="0.25" footer="0.25"/>
  <pageSetup firstPageNumber="1" fitToHeight="1" fitToWidth="1" scale="100" useFirstPageNumber="0" orientation="portrait" pageOrder="downThenOver"/>
  <headerFooter>
    <oddFooter>&amp;C&amp;"Baskerville,Regular"&amp;10&amp;K000000&amp;P</oddFooter>
  </headerFooter>
  <drawing r:id="rId1"/>
</worksheet>
</file>

<file path=xl/worksheets/sheet14.xml><?xml version="1.0" encoding="utf-8"?>
<worksheet xmlns:r="http://schemas.openxmlformats.org/officeDocument/2006/relationships" xmlns="http://schemas.openxmlformats.org/spreadsheetml/2006/main">
  <sheetPr>
    <pageSetUpPr fitToPage="1"/>
  </sheetPr>
  <dimension ref="B3:K13"/>
  <sheetViews>
    <sheetView workbookViewId="0" showGridLines="0" defaultGridColor="1"/>
  </sheetViews>
  <sheetFormatPr defaultColWidth="21" defaultRowHeight="20.55" customHeight="1" outlineLevelRow="0" outlineLevelCol="0"/>
  <cols>
    <col min="1" max="1" width="71.375" style="68" customWidth="1"/>
    <col min="2" max="2" width="21" style="68" customWidth="1"/>
    <col min="3" max="4" width="18" style="68" customWidth="1"/>
    <col min="5" max="5" width="21" style="69" customWidth="1"/>
    <col min="6" max="7" width="9" style="69" customWidth="1"/>
    <col min="8" max="8" hidden="1" width="21" style="69" customWidth="1"/>
    <col min="9" max="10" width="9" style="69" customWidth="1"/>
    <col min="11" max="11" hidden="1" width="21" style="69" customWidth="1"/>
    <col min="12" max="256" width="21" style="69" customWidth="1"/>
  </cols>
  <sheetData>
    <row r="1" ht="72.85" customHeight="1"/>
    <row r="2" ht="28" customHeight="1">
      <c r="B2" t="s" s="26">
        <v>13</v>
      </c>
      <c r="C2" s="26"/>
      <c r="D2" s="26"/>
    </row>
    <row r="3" ht="19.5" customHeight="1">
      <c r="B3" s="23"/>
      <c r="C3" t="s" s="23">
        <v>14</v>
      </c>
      <c r="D3" t="s" s="23">
        <v>12</v>
      </c>
    </row>
    <row r="4" ht="22" customHeight="1">
      <c r="B4" s="19"/>
      <c r="C4" s="24">
        <v>10</v>
      </c>
      <c r="D4" s="24">
        <v>0</v>
      </c>
    </row>
    <row r="6" ht="22.5" customHeight="1">
      <c r="E6" t="s" s="70">
        <v>0</v>
      </c>
      <c r="F6" t="s" s="70">
        <v>1</v>
      </c>
      <c r="G6" s="3"/>
      <c r="H6" s="4"/>
      <c r="I6" t="s" s="70">
        <v>2</v>
      </c>
      <c r="J6" s="3"/>
      <c r="K6" s="4"/>
    </row>
    <row r="7" ht="21.6" customHeight="1">
      <c r="E7" t="s" s="5">
        <v>53</v>
      </c>
      <c r="F7" s="6">
        <v>60</v>
      </c>
      <c r="G7" t="s" s="7">
        <v>4</v>
      </c>
      <c r="H7" t="s" s="7">
        <f>IF(G7="oz","ozm",IF(G7="tbsp","tbs",IF(G7="fl oz","oz",IF(G7="L","l",IF(G7="mL","ml",IF(G7="lb","lbm",IF(G7="----","F",G7)))))))</f>
        <v>4</v>
      </c>
      <c r="I7" s="8">
        <f>IF(AND(H7="F",K7="F"),F7,CONVERT(F7,H7,K7))*$D$4/$C$4</f>
        <v>0</v>
      </c>
      <c r="J7" t="s" s="7">
        <v>4</v>
      </c>
      <c r="K7" t="s" s="7">
        <f>IF(J7="oz","ozm",IF(J7="tbsp","tbs",IF(J7="fl oz","oz",IF(J7="L","l",IF(J7="mL","ml",IF(J7="lb","lbm",IF(J7="----","F",J7)))))))</f>
        <v>4</v>
      </c>
    </row>
    <row r="8" ht="21.25" customHeight="1">
      <c r="E8" t="s" s="9">
        <v>54</v>
      </c>
      <c r="F8" s="10">
        <v>2</v>
      </c>
      <c r="G8" t="s" s="11">
        <v>4</v>
      </c>
      <c r="H8" t="s" s="11">
        <f>IF(G8="oz","ozm",IF(G8="tbsp","tbs",IF(G8="fl oz","oz",IF(G8="L","l",IF(G8="mL","ml",IF(G8="lb","lbm",IF(G8="----","F",G8)))))))</f>
        <v>4</v>
      </c>
      <c r="I8" s="12">
        <f>IF(AND(H8="F",K8="F"),F8,CONVERT(F8,H8,K8))*$D$4/$C$4</f>
        <v>0</v>
      </c>
      <c r="J8" t="s" s="11">
        <v>4</v>
      </c>
      <c r="K8" t="s" s="11">
        <f>IF(J8="oz","ozm",IF(J8="tbsp","tbs",IF(J8="fl oz","oz",IF(J8="L","l",IF(J8="mL","ml",IF(J8="lb","lbm",IF(J8="----","F",J8)))))))</f>
        <v>4</v>
      </c>
    </row>
    <row r="9" ht="21.6" customHeight="1">
      <c r="E9" t="s" s="13">
        <v>16</v>
      </c>
      <c r="F9" s="10">
        <v>5</v>
      </c>
      <c r="G9" t="s" s="11">
        <v>4</v>
      </c>
      <c r="H9" t="s" s="11">
        <f>IF(G9="oz","ozm",IF(G9="tbsp","tbs",IF(G9="fl oz","oz",IF(G9="L","l",IF(G9="mL","ml",IF(G9="lb","lbm",IF(G9="----","F",G9)))))))</f>
        <v>4</v>
      </c>
      <c r="I9" s="16"/>
      <c r="J9" s="40"/>
      <c r="K9" s="39">
        <f>IF(J9="oz","ozm",IF(J9="tbsp","tbs",IF(J9="fl oz","oz",IF(J9="L","l",IF(J9="mL","ml",IF(J9="lb","lbm",IF(J9="----","F",J9)))))))</f>
        <v>0</v>
      </c>
    </row>
    <row r="10" ht="22" customHeight="1">
      <c r="E10" t="s" s="17">
        <v>50</v>
      </c>
      <c r="F10" s="71">
        <v>0.5</v>
      </c>
      <c r="G10" t="s" s="15">
        <v>10</v>
      </c>
      <c r="H10" t="s" s="11">
        <f>IF(G10="oz","ozm",IF(G10="tbsp","tbs",IF(G10="fl oz","oz",IF(G10="L","l",IF(G10="mL","ml",IF(G10="lb","lbm",IF(G10="----","F",G10)))))))</f>
        <v>10</v>
      </c>
      <c r="I10" s="21"/>
      <c r="J10" s="46"/>
      <c r="K10" s="39">
        <f>IF(J10="oz","ozm",IF(J10="tbsp","tbs",IF(J10="fl oz","oz",IF(J10="L","l",IF(J10="mL","ml",IF(J10="lb","lbm",IF(J10="----","F",J10)))))))</f>
        <v>0</v>
      </c>
    </row>
    <row r="11" ht="22" customHeight="1">
      <c r="E11" t="s" s="17">
        <v>55</v>
      </c>
      <c r="F11" s="72"/>
      <c r="G11" s="19"/>
      <c r="H11" t="s" s="11">
        <f>IF(G11="oz","ozm",IF(G11="tbsp","tbs",IF(G11="fl oz","oz",IF(G11="L","l",IF(G11="mL","ml",IF(G11="lb","lbm",IF(G11="----","F",G11)))))))</f>
      </c>
      <c r="I11" s="21"/>
      <c r="J11" s="19"/>
      <c r="K11" t="s" s="11">
        <f>IF(J11="oz","ozm",IF(J11="tbsp","tbs",IF(J11="fl oz","oz",IF(J11="L","l",IF(J11="mL","ml",IF(J11="lb","lbm",IF(J11="----","F",J11)))))))</f>
      </c>
    </row>
    <row r="12" ht="34.6" customHeight="1">
      <c r="E12" t="s" s="5">
        <v>56</v>
      </c>
      <c r="F12" s="6"/>
      <c r="G12" s="7"/>
      <c r="H12" t="s" s="11">
        <f>IF(G12="oz","ozm",IF(G12="tbsp","tbs",IF(G12="fl oz","oz",IF(G12="L","l",IF(G12="mL","ml",IF(G12="lb","lbm",IF(G12="----","F",G12)))))))</f>
      </c>
      <c r="I12" s="8"/>
      <c r="J12" s="7"/>
      <c r="K12" t="s" s="11">
        <f>IF(J12="oz","ozm",IF(J12="tbsp","tbs",IF(J12="fl oz","oz",IF(J12="L","l",IF(J12="mL","ml",IF(J12="lb","lbm",IF(J12="----","F",J12)))))))</f>
      </c>
    </row>
    <row r="13" ht="21.1" customHeight="1">
      <c r="E13" t="s" s="73">
        <v>17</v>
      </c>
      <c r="F13" s="74">
        <v>0.25</v>
      </c>
      <c r="G13" t="s" s="20">
        <v>10</v>
      </c>
      <c r="H13" t="s" s="20">
        <f>IF(G13="oz","ozm",IF(G13="tbsp","tbs",IF(G13="fl oz","oz",IF(G13="L","l",IF(G13="mL","ml",IF(G13="lb","lbm",IF(G13="----","F",G13)))))))</f>
        <v>10</v>
      </c>
      <c r="I13" s="75"/>
      <c r="J13" s="76"/>
      <c r="K13" s="58">
        <f>IF(J13="oz","ozm",IF(J13="tbsp","tbs",IF(J13="fl oz","oz",IF(J13="L","l",IF(J13="mL","ml",IF(J13="lb","lbm",IF(J13="----","F",J13)))))))</f>
        <v>0</v>
      </c>
    </row>
  </sheetData>
  <mergeCells count="3">
    <mergeCell ref="B2:D2"/>
    <mergeCell ref="F6:G6"/>
    <mergeCell ref="I6:J6"/>
  </mergeCells>
  <pageMargins left="0.5" right="0.5" top="0.25" bottom="0.5" header="0.25" footer="0.25"/>
  <pageSetup firstPageNumber="1" fitToHeight="1" fitToWidth="1" scale="100" useFirstPageNumber="0" orientation="portrait" pageOrder="downThenOver"/>
  <headerFooter>
    <oddFooter>&amp;C&amp;"Baskerville,Regular"&amp;10&amp;K000000&amp;P</oddFooter>
  </headerFooter>
  <drawing r:id="rId1"/>
</worksheet>
</file>

<file path=xl/worksheets/sheet15.xml><?xml version="1.0" encoding="utf-8"?>
<worksheet xmlns:r="http://schemas.openxmlformats.org/officeDocument/2006/relationships" xmlns="http://schemas.openxmlformats.org/spreadsheetml/2006/main">
  <sheetPr>
    <pageSetUpPr fitToPage="1"/>
  </sheetPr>
  <dimension ref="B3:K7"/>
  <sheetViews>
    <sheetView workbookViewId="0" showGridLines="0" defaultGridColor="1"/>
  </sheetViews>
  <sheetFormatPr defaultColWidth="21" defaultRowHeight="20.55" customHeight="1" outlineLevelRow="0" outlineLevelCol="0"/>
  <cols>
    <col min="1" max="1" width="77.7656" style="77" customWidth="1"/>
    <col min="2" max="2" width="21" style="77" customWidth="1"/>
    <col min="3" max="4" width="18" style="77" customWidth="1"/>
    <col min="5" max="5" width="21" style="78" customWidth="1"/>
    <col min="6" max="7" width="9" style="78" customWidth="1"/>
    <col min="8" max="8" hidden="1" width="21" style="78" customWidth="1"/>
    <col min="9" max="10" width="9" style="78" customWidth="1"/>
    <col min="11" max="11" hidden="1" width="21" style="78" customWidth="1"/>
    <col min="12" max="256" width="21" style="78" customWidth="1"/>
  </cols>
  <sheetData>
    <row r="1" ht="77.65" customHeight="1"/>
    <row r="2" ht="28" customHeight="1">
      <c r="B2" t="s" s="26">
        <v>13</v>
      </c>
      <c r="C2" s="26"/>
      <c r="D2" s="26"/>
    </row>
    <row r="3" ht="19.5" customHeight="1">
      <c r="B3" s="23"/>
      <c r="C3" t="s" s="23">
        <v>14</v>
      </c>
      <c r="D3" t="s" s="23">
        <v>12</v>
      </c>
    </row>
    <row r="4" ht="22" customHeight="1">
      <c r="B4" s="19"/>
      <c r="C4" s="24">
        <v>10</v>
      </c>
      <c r="D4" s="24">
        <v>0</v>
      </c>
    </row>
    <row r="6" ht="23.5" customHeight="1">
      <c r="E6" t="s" s="28">
        <v>0</v>
      </c>
      <c r="F6" t="s" s="28">
        <v>1</v>
      </c>
      <c r="G6" s="3"/>
      <c r="H6" s="4"/>
      <c r="I6" t="s" s="28">
        <v>2</v>
      </c>
      <c r="J6" s="3"/>
      <c r="K6" s="4"/>
    </row>
    <row r="7" ht="21.5" customHeight="1">
      <c r="E7" t="s" s="79">
        <v>57</v>
      </c>
      <c r="F7" s="80">
        <v>60</v>
      </c>
      <c r="G7" t="s" s="81">
        <v>4</v>
      </c>
      <c r="H7" t="s" s="81">
        <f>IF(G7="oz","ozm",IF(G7="tbsp","tbs",IF(G7="fl oz","oz",IF(G7="L","l",IF(G7="mL","ml",IF(G7="lb","lbm",IF(G7="----","F",G7)))))))</f>
        <v>4</v>
      </c>
      <c r="I7" s="82">
        <f>IF(AND(H7="F",K7="F"),F7,CONVERT(F7,H7,K7))*$D$4/$C$4</f>
        <v>0</v>
      </c>
      <c r="J7" t="s" s="81">
        <v>4</v>
      </c>
      <c r="K7" t="s" s="81">
        <f>IF(J7="oz","ozm",IF(J7="tbsp","tbs",IF(J7="fl oz","oz",IF(J7="L","l",IF(J7="mL","ml",IF(J7="lb","lbm",IF(J7="----","F",J7)))))))</f>
        <v>4</v>
      </c>
    </row>
  </sheetData>
  <mergeCells count="3">
    <mergeCell ref="B2:D2"/>
    <mergeCell ref="F6:G6"/>
    <mergeCell ref="I6:J6"/>
  </mergeCells>
  <pageMargins left="0.5" right="0.5" top="0.25" bottom="0.5" header="0.25" footer="0.25"/>
  <pageSetup firstPageNumber="1" fitToHeight="1" fitToWidth="1" scale="100" useFirstPageNumber="0" orientation="portrait" pageOrder="downThenOver"/>
  <headerFooter>
    <oddFooter>&amp;C&amp;"Baskerville,Regular"&amp;10&amp;K000000&amp;P</oddFooter>
  </headerFooter>
  <drawing r:id="rId1"/>
</worksheet>
</file>

<file path=xl/worksheets/sheet16.xml><?xml version="1.0" encoding="utf-8"?>
<worksheet xmlns:r="http://schemas.openxmlformats.org/officeDocument/2006/relationships" xmlns="http://schemas.openxmlformats.org/spreadsheetml/2006/main">
  <sheetPr>
    <pageSetUpPr fitToPage="1"/>
  </sheetPr>
  <dimension ref="A2:N18"/>
  <sheetViews>
    <sheetView workbookViewId="0" showGridLines="0" defaultGridColor="1"/>
  </sheetViews>
  <sheetFormatPr defaultColWidth="9" defaultRowHeight="20.55" customHeight="1" outlineLevelRow="0" outlineLevelCol="0"/>
  <cols>
    <col min="1" max="1" width="21" style="83" customWidth="1"/>
    <col min="2" max="3" width="9" style="83" customWidth="1"/>
    <col min="4" max="4" hidden="1" width="9" style="83" customWidth="1"/>
    <col min="5" max="6" width="9" style="83" customWidth="1"/>
    <col min="7" max="7" hidden="1" width="9" style="83" customWidth="1"/>
    <col min="8" max="8" width="21" style="88" customWidth="1"/>
    <col min="9" max="10" width="9" style="88" customWidth="1"/>
    <col min="11" max="11" hidden="1" width="9" style="88" customWidth="1"/>
    <col min="12" max="13" width="9" style="88" customWidth="1"/>
    <col min="14" max="14" hidden="1" width="9" style="88" customWidth="1"/>
    <col min="15" max="256" width="9" style="88" customWidth="1"/>
  </cols>
  <sheetData>
    <row r="1" ht="110" customHeight="1"/>
    <row r="2" ht="23.5" customHeight="1">
      <c r="A2" t="s" s="28">
        <v>0</v>
      </c>
      <c r="B2" t="s" s="28">
        <v>1</v>
      </c>
      <c r="C2" s="3"/>
      <c r="D2" s="4"/>
      <c r="E2" t="s" s="28">
        <v>2</v>
      </c>
      <c r="F2" s="3"/>
      <c r="G2" s="4"/>
    </row>
    <row r="3" ht="21.6" customHeight="1">
      <c r="A3" t="s" s="5">
        <v>58</v>
      </c>
      <c r="B3" s="6">
        <v>20</v>
      </c>
      <c r="C3" t="s" s="7">
        <v>4</v>
      </c>
      <c r="D3" t="s" s="7">
        <f>IF(C3="oz","ozm",IF(C3="tbsp","tbs",IF(C3="fl oz","oz",IF(C3="L","l",IF(C3="mL","ml",IF(C3="lb","lbm",IF(C3="----","F",C3)))))))</f>
        <v>4</v>
      </c>
      <c r="E3" s="8"/>
      <c r="F3" t="s" s="7">
        <v>4</v>
      </c>
      <c r="G3" t="s" s="7">
        <f>IF(F3="oz","ozm",IF(F3="tbsp","tbs",IF(F3="fl oz","oz",IF(F3="L","l",IF(F3="mL","ml",IF(F3="lb","lbm",IF(F3="----","F",F3)))))))</f>
        <v>4</v>
      </c>
    </row>
    <row r="4" ht="21.25" customHeight="1">
      <c r="A4" t="s" s="9">
        <v>5</v>
      </c>
      <c r="B4" s="10">
        <v>20</v>
      </c>
      <c r="C4" t="s" s="11">
        <v>4</v>
      </c>
      <c r="D4" s="38"/>
      <c r="E4" s="12"/>
      <c r="F4" t="s" s="11">
        <v>4</v>
      </c>
      <c r="G4" s="38"/>
    </row>
    <row r="5" ht="21.25" customHeight="1">
      <c r="A5" t="s" s="9">
        <v>31</v>
      </c>
      <c r="B5" s="10">
        <v>15</v>
      </c>
      <c r="C5" t="s" s="11">
        <v>4</v>
      </c>
      <c r="D5" s="38"/>
      <c r="E5" s="12"/>
      <c r="F5" t="s" s="11">
        <v>4</v>
      </c>
      <c r="G5" s="38"/>
    </row>
    <row r="6" ht="21.25" customHeight="1">
      <c r="A6" t="s" s="9">
        <v>16</v>
      </c>
      <c r="B6" s="10">
        <v>8</v>
      </c>
      <c r="C6" t="s" s="11">
        <v>4</v>
      </c>
      <c r="D6" s="38"/>
      <c r="E6" s="12"/>
      <c r="F6" t="s" s="11">
        <v>10</v>
      </c>
      <c r="G6" s="38"/>
    </row>
    <row r="7" ht="21.25" customHeight="1">
      <c r="A7" t="s" s="9">
        <v>9</v>
      </c>
      <c r="B7" s="84"/>
      <c r="C7" t="s" s="85">
        <v>42</v>
      </c>
      <c r="D7" s="38"/>
      <c r="E7" s="12"/>
      <c r="F7" t="s" s="11">
        <v>10</v>
      </c>
      <c r="G7" s="38"/>
    </row>
    <row r="8" ht="21.25" customHeight="1">
      <c r="A8" t="s" s="9">
        <v>24</v>
      </c>
      <c r="B8" s="84"/>
      <c r="C8" t="s" s="85">
        <v>42</v>
      </c>
      <c r="D8" s="38"/>
      <c r="E8" s="12"/>
      <c r="F8" t="s" s="11">
        <v>10</v>
      </c>
      <c r="G8" s="38"/>
    </row>
    <row r="9" ht="21.1" customHeight="1">
      <c r="A9" t="s" s="73">
        <v>32</v>
      </c>
      <c r="B9" s="86"/>
      <c r="C9" t="s" s="87">
        <v>42</v>
      </c>
      <c r="D9" s="76"/>
      <c r="E9" s="75"/>
      <c r="F9" t="s" s="20">
        <v>10</v>
      </c>
      <c r="G9" s="76"/>
    </row>
    <row r="11" ht="23.5" customHeight="1">
      <c r="H11" t="s" s="28">
        <v>0</v>
      </c>
      <c r="I11" t="s" s="28">
        <v>1</v>
      </c>
      <c r="J11" s="3"/>
      <c r="K11" s="4"/>
      <c r="L11" t="s" s="28">
        <v>2</v>
      </c>
      <c r="M11" s="3"/>
      <c r="N11" s="4"/>
    </row>
    <row r="12" ht="21.6" customHeight="1">
      <c r="H12" t="s" s="5">
        <v>59</v>
      </c>
      <c r="I12" s="6">
        <v>20</v>
      </c>
      <c r="J12" t="s" s="7">
        <v>4</v>
      </c>
      <c r="K12" t="s" s="7">
        <f>IF(J12="oz","ozm",IF(J12="tbsp","tbs",IF(J12="fl oz","oz",IF(J12="L","l",IF(J12="mL","ml",IF(J12="lb","lbm",IF(J12="----","F",J12)))))))</f>
        <v>4</v>
      </c>
      <c r="L12" s="8"/>
      <c r="M12" s="7"/>
      <c r="N12" t="s" s="7">
        <f>IF(M12="oz","ozm",IF(M12="tbsp","tbs",IF(M12="fl oz","oz",IF(M12="L","l",IF(M12="mL","ml",IF(M12="lb","lbm",IF(M12="----","F",M12)))))))</f>
      </c>
    </row>
    <row r="13" ht="21.25" customHeight="1">
      <c r="H13" t="s" s="9">
        <v>5</v>
      </c>
      <c r="I13" s="10">
        <v>20</v>
      </c>
      <c r="J13" t="s" s="11">
        <v>4</v>
      </c>
      <c r="K13" s="38"/>
      <c r="L13" s="12"/>
      <c r="M13" s="11"/>
      <c r="N13" s="38"/>
    </row>
    <row r="14" ht="21.25" customHeight="1">
      <c r="H14" t="s" s="9">
        <v>31</v>
      </c>
      <c r="I14" s="10">
        <v>15</v>
      </c>
      <c r="J14" t="s" s="11">
        <v>4</v>
      </c>
      <c r="K14" s="38"/>
      <c r="L14" s="12"/>
      <c r="M14" s="11"/>
      <c r="N14" s="38"/>
    </row>
    <row r="15" ht="21.25" customHeight="1">
      <c r="H15" t="s" s="9">
        <v>16</v>
      </c>
      <c r="I15" s="10">
        <v>8</v>
      </c>
      <c r="J15" t="s" s="11">
        <v>4</v>
      </c>
      <c r="K15" s="38"/>
      <c r="L15" s="12"/>
      <c r="M15" s="11"/>
      <c r="N15" s="38"/>
    </row>
    <row r="16" ht="21.25" customHeight="1">
      <c r="H16" t="s" s="9">
        <v>9</v>
      </c>
      <c r="I16" s="10"/>
      <c r="J16" t="s" s="85">
        <v>42</v>
      </c>
      <c r="K16" s="38"/>
      <c r="L16" s="12"/>
      <c r="M16" s="11"/>
      <c r="N16" s="38"/>
    </row>
    <row r="17" ht="21.25" customHeight="1">
      <c r="H17" t="s" s="9">
        <v>24</v>
      </c>
      <c r="I17" s="10"/>
      <c r="J17" t="s" s="85">
        <v>42</v>
      </c>
      <c r="K17" s="38"/>
      <c r="L17" s="12"/>
      <c r="M17" s="11"/>
      <c r="N17" s="38"/>
    </row>
    <row r="18" ht="21.1" customHeight="1">
      <c r="H18" t="s" s="73">
        <v>32</v>
      </c>
      <c r="I18" s="74"/>
      <c r="J18" t="s" s="87">
        <v>42</v>
      </c>
      <c r="K18" s="76"/>
      <c r="L18" s="75"/>
      <c r="M18" s="20"/>
      <c r="N18" s="76"/>
    </row>
  </sheetData>
  <mergeCells count="4">
    <mergeCell ref="B2:C2"/>
    <mergeCell ref="E2:F2"/>
    <mergeCell ref="I11:J11"/>
    <mergeCell ref="L11:M11"/>
  </mergeCells>
  <pageMargins left="0.5" right="0.5" top="0.25" bottom="0.5" header="0.25" footer="0.25"/>
  <pageSetup firstPageNumber="1" fitToHeight="1" fitToWidth="1" scale="100" useFirstPageNumber="0" orientation="portrait" pageOrder="downThenOver"/>
  <headerFooter>
    <oddFooter>&amp;C&amp;"Baskerville,Regular"&amp;10&amp;K000000&amp;P</oddFooter>
  </headerFooter>
  <drawing r:id="rId1"/>
</worksheet>
</file>

<file path=xl/worksheets/sheet17.xml><?xml version="1.0" encoding="utf-8"?>
<worksheet xmlns:r="http://schemas.openxmlformats.org/officeDocument/2006/relationships" xmlns="http://schemas.openxmlformats.org/spreadsheetml/2006/main">
  <sheetPr>
    <pageSetUpPr fitToPage="1"/>
  </sheetPr>
  <sheetViews>
    <sheetView workbookViewId="0" showGridLines="0" defaultGridColor="1"/>
  </sheetViews>
  <sheetFormatPr defaultColWidth="10" defaultRowHeight="13" customHeight="1" outlineLevelRow="0" outlineLevelCol="0"/>
  <cols>
    <col min="1" max="256" width="10" customWidth="1"/>
  </cols>
  <sheetData/>
  <pageMargins left="0.5" right="0.5" top="0.25" bottom="0.5" header="0.25" footer="0.25"/>
  <pageSetup firstPageNumber="1" fitToHeight="1" fitToWidth="1" scale="100" useFirstPageNumber="0" orientation="portrait" pageOrder="downThenOver"/>
  <headerFooter>
    <oddFooter>&amp;C&amp;"Baskerville,Regular"&amp;10&amp;K000000&amp;P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